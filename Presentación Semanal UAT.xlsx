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A\WrampUp - copia\"/>
    </mc:Choice>
  </mc:AlternateContent>
  <xr:revisionPtr revIDLastSave="0" documentId="13_ncr:1_{76645C27-E99C-452D-A523-5E9B8498EDD6}" xr6:coauthVersionLast="47" xr6:coauthVersionMax="47" xr10:uidLastSave="{00000000-0000-0000-0000-000000000000}"/>
  <bookViews>
    <workbookView xWindow="-110" yWindow="-110" windowWidth="19420" windowHeight="11500" activeTab="3" xr2:uid="{27A98AC9-9505-493B-985E-2D79FFCBCA40}"/>
  </bookViews>
  <sheets>
    <sheet name="Base" sheetId="1" r:id="rId1"/>
    <sheet name="BC_F" sheetId="3" r:id="rId2"/>
    <sheet name="BC_CP" sheetId="2" r:id="rId3"/>
    <sheet name="Ob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1" i="4" l="1"/>
  <c r="D20" i="4"/>
  <c r="D4" i="2"/>
  <c r="D4" i="3"/>
  <c r="C21" i="4"/>
  <c r="C20" i="4"/>
  <c r="J21" i="4"/>
  <c r="I21" i="4"/>
  <c r="H21" i="4"/>
  <c r="G21" i="4"/>
  <c r="F21" i="4"/>
  <c r="E21" i="4"/>
  <c r="J20" i="4"/>
  <c r="I20" i="4"/>
  <c r="H20" i="4"/>
  <c r="G20" i="4"/>
  <c r="F20" i="4"/>
  <c r="E20" i="4"/>
  <c r="D8" i="4"/>
  <c r="E8" i="4"/>
  <c r="F8" i="4"/>
  <c r="G8" i="4"/>
  <c r="H8" i="4"/>
  <c r="I8" i="4"/>
  <c r="J8" i="4"/>
  <c r="C8" i="4"/>
  <c r="D7" i="4"/>
  <c r="E7" i="4"/>
  <c r="F7" i="4"/>
  <c r="G7" i="4"/>
  <c r="H7" i="4"/>
  <c r="I7" i="4"/>
  <c r="J7" i="4"/>
  <c r="C7" i="4"/>
  <c r="D3" i="3"/>
  <c r="C3" i="3"/>
  <c r="C4" i="3" s="1"/>
  <c r="C5" i="3" s="1"/>
  <c r="C6" i="3" s="1"/>
  <c r="C7" i="3" s="1"/>
  <c r="C8" i="3" s="1"/>
  <c r="C9" i="3" s="1"/>
  <c r="C10" i="3" s="1"/>
  <c r="D3" i="2"/>
  <c r="C4" i="2"/>
  <c r="C5" i="2" s="1"/>
  <c r="C6" i="2" s="1"/>
  <c r="C7" i="2" s="1"/>
  <c r="C8" i="2" s="1"/>
  <c r="C9" i="2" s="1"/>
  <c r="C10" i="2" s="1"/>
  <c r="C3" i="2"/>
  <c r="D4" i="1" l="1"/>
  <c r="D5" i="1"/>
  <c r="D3" i="1" l="1"/>
  <c r="D2" i="1"/>
</calcChain>
</file>

<file path=xl/sharedStrings.xml><?xml version="1.0" encoding="utf-8"?>
<sst xmlns="http://schemas.openxmlformats.org/spreadsheetml/2006/main" count="102" uniqueCount="44">
  <si>
    <t>Aplicación</t>
  </si>
  <si>
    <t>Bantotal</t>
  </si>
  <si>
    <t>Total Funcionalidades</t>
  </si>
  <si>
    <t>Duración de las pruebas</t>
  </si>
  <si>
    <t>Cantidad CP PREUAT</t>
  </si>
  <si>
    <t>Funcionalidades PREUAT</t>
  </si>
  <si>
    <t>Porcentaje</t>
  </si>
  <si>
    <t>ODS - App Móvil</t>
  </si>
  <si>
    <t>ODS SPACE - IVR</t>
  </si>
  <si>
    <t>ODS SPACE - Reclamos</t>
  </si>
  <si>
    <t>TBD</t>
  </si>
  <si>
    <t>8 Semanas</t>
  </si>
  <si>
    <t>2 Semanas</t>
  </si>
  <si>
    <t>Semana</t>
  </si>
  <si>
    <t>Proyectado</t>
  </si>
  <si>
    <t>Real</t>
  </si>
  <si>
    <t>Diario Real</t>
  </si>
  <si>
    <t>Semanal Proyectado</t>
  </si>
  <si>
    <t>Semanal Real</t>
  </si>
  <si>
    <t>Estado</t>
  </si>
  <si>
    <t>WORK IN PROGRESS</t>
  </si>
  <si>
    <t>CAMBIO DE ALCANCE</t>
  </si>
  <si>
    <t>GAP DE REQUERIMIENTO</t>
  </si>
  <si>
    <t>DEFECTOS</t>
  </si>
  <si>
    <t>RESUELTOS</t>
  </si>
  <si>
    <t>TOTAL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</si>
  <si>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</si>
  <si>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</si>
  <si>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</si>
  <si>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</si>
  <si>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</si>
  <si>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</si>
  <si>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</si>
  <si>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</si>
  <si>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Grupos Funcionales</t>
  </si>
  <si>
    <t>Arqueo y Cierre de Caja</t>
  </si>
  <si>
    <t>Boveda</t>
  </si>
  <si>
    <t>Remesas</t>
  </si>
  <si>
    <t>Compra y Venta de Dolares</t>
  </si>
  <si>
    <t>Depósitos/Retiros/Transferencias</t>
  </si>
  <si>
    <t>Gestión de Cuentas de Ahorro</t>
  </si>
  <si>
    <t>Perfilamiento</t>
  </si>
  <si>
    <t>Otros</t>
  </si>
  <si>
    <t>TOTAL ABIERTOS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</si>
</sst>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0" xfId="0" applyFont="1"/>
    <xf numFmtId="0" fontId="1" fillId="2" borderId="0" xfId="0" applyFont="1" applyFill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BC_F!$C$1</c:f>
              <c:strCache>
                <c:ptCount val="1"/>
                <c:pt idx="0">
                  <c:v>Proyectado</c:v>
                </c:pt>
              </c:strCache>
            </c:strRef>
          </c:tx>
          <c:spPr>
            <a:ln w="22225" cap="rnd" cmpd="sng" algn="ctr">
              <a:solidFill>
                <a:srgbClr val="458FA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BC_F!$C$2:$C$10</c:f>
              <c:numCache>
                <c:formatCode>General</c:formatCode>
                <c:ptCount val="9"/>
                <c:pt idx="0">
                  <c:v>202</c:v>
                </c:pt>
                <c:pt idx="1">
                  <c:v>177</c:v>
                </c:pt>
                <c:pt idx="2">
                  <c:v>152</c:v>
                </c:pt>
                <c:pt idx="3">
                  <c:v>127</c:v>
                </c:pt>
                <c:pt idx="4">
                  <c:v>102</c:v>
                </c:pt>
                <c:pt idx="5">
                  <c:v>77</c:v>
                </c:pt>
                <c:pt idx="6">
                  <c:v>52</c:v>
                </c:pt>
                <c:pt idx="7">
                  <c:v>27</c:v>
                </c:pt>
                <c:pt idx="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8-4212-BBB7-BCD279D05F4E}"/>
            </c:ext>
          </c:extLst>
        </c:ser>
        <c:ser>
          <c:idx val="1"/>
          <c:order val="1"/>
          <c:tx>
            <c:strRef>
              <c:f>BC_F!$D$1</c:f>
              <c:strCache>
                <c:ptCount val="1"/>
                <c:pt idx="0">
                  <c:v>Real</c:v>
                </c:pt>
              </c:strCache>
            </c:strRef>
          </c:tx>
          <c:spPr>
            <a:ln w="22225" cap="rnd" cmpd="sng" algn="ctr">
              <a:solidFill>
                <a:srgbClr val="404040">
                  <a:lumMod val="50000"/>
                </a:srgb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dLbl>
              <c:idx val="1"/>
              <c:layout>
                <c:manualLayout>
                  <c:x val="-3.474966170500679E-2"/>
                  <c:y val="5.26673699280412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6D8-4212-BBB7-BCD279D05F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BC_F!$D$2:$D$10</c:f>
              <c:numCache>
                <c:formatCode>General</c:formatCode>
                <c:ptCount val="9"/>
                <c:pt idx="0">
                  <c:v>202</c:v>
                </c:pt>
                <c:pt idx="1">
                  <c:v>164</c:v>
                </c:pt>
                <c:pt idx="2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8-4212-BBB7-BCD279D05F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7214208"/>
        <c:axId val="137210368"/>
      </c:lineChart>
      <c:catAx>
        <c:axId val="137214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0368"/>
        <c:crosses val="autoZero"/>
        <c:auto val="1"/>
        <c:lblAlgn val="ctr"/>
        <c:lblOffset val="100"/>
        <c:noMultiLvlLbl val="0"/>
      </c:catAx>
      <c:valAx>
        <c:axId val="1372103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42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BC_CP!$C$1</c:f>
              <c:strCache>
                <c:ptCount val="1"/>
                <c:pt idx="0">
                  <c:v>Proyectado</c:v>
                </c:pt>
              </c:strCache>
            </c:strRef>
          </c:tx>
          <c:spPr>
            <a:ln w="22225" cap="rnd" cmpd="sng" algn="ctr">
              <a:solidFill>
                <a:srgbClr val="458FA3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4.1515561569688796E-2"/>
                  <c:y val="3.59209584447877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17-408D-91DA-F4522F560F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BC_CP!$C$2:$C$10</c:f>
              <c:numCache>
                <c:formatCode>General</c:formatCode>
                <c:ptCount val="9"/>
                <c:pt idx="0">
                  <c:v>1049</c:v>
                </c:pt>
                <c:pt idx="1">
                  <c:v>918</c:v>
                </c:pt>
                <c:pt idx="2">
                  <c:v>787</c:v>
                </c:pt>
                <c:pt idx="3">
                  <c:v>656</c:v>
                </c:pt>
                <c:pt idx="4">
                  <c:v>525</c:v>
                </c:pt>
                <c:pt idx="5">
                  <c:v>394</c:v>
                </c:pt>
                <c:pt idx="6">
                  <c:v>263</c:v>
                </c:pt>
                <c:pt idx="7">
                  <c:v>132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17-408D-91DA-F4522F560F19}"/>
            </c:ext>
          </c:extLst>
        </c:ser>
        <c:ser>
          <c:idx val="1"/>
          <c:order val="1"/>
          <c:tx>
            <c:strRef>
              <c:f>BC_CP!$D$1</c:f>
              <c:strCache>
                <c:ptCount val="1"/>
                <c:pt idx="0">
                  <c:v>Real</c:v>
                </c:pt>
              </c:strCache>
            </c:strRef>
          </c:tx>
          <c:spPr>
            <a:ln w="22225" cap="rnd" cmpd="sng" algn="ctr">
              <a:solidFill>
                <a:srgbClr val="404040">
                  <a:lumMod val="50000"/>
                </a:srgb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BC_CP!$D$2:$D$10</c:f>
              <c:numCache>
                <c:formatCode>General</c:formatCode>
                <c:ptCount val="9"/>
                <c:pt idx="0">
                  <c:v>1049</c:v>
                </c:pt>
                <c:pt idx="1">
                  <c:v>983</c:v>
                </c:pt>
                <c:pt idx="2">
                  <c:v>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17-408D-91DA-F4522F560F1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37214208"/>
        <c:axId val="137210368"/>
      </c:lineChart>
      <c:catAx>
        <c:axId val="137214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0368"/>
        <c:crosses val="autoZero"/>
        <c:auto val="1"/>
        <c:lblAlgn val="ctr"/>
        <c:lblOffset val="100"/>
        <c:noMultiLvlLbl val="0"/>
      </c:catAx>
      <c:valAx>
        <c:axId val="13721036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3721420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57150</xdr:rowOff>
    </xdr:from>
    <xdr:to>
      <xdr:col>13</xdr:col>
      <xdr:colOff>120650</xdr:colOff>
      <xdr:row>14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AF7142-C3F1-4BC4-941C-73192E511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57150</xdr:rowOff>
    </xdr:from>
    <xdr:to>
      <xdr:col>13</xdr:col>
      <xdr:colOff>120650</xdr:colOff>
      <xdr:row>14</xdr:row>
      <xdr:rowOff>133350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FBFBB6F-AA37-9C50-3689-C9ABACAEE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2953B-C204-476C-8235-8B2C8F5641EC}">
  <dimension ref="A1:F5"/>
  <sheetViews>
    <sheetView workbookViewId="0">
      <selection activeCell="C7" sqref="C7"/>
    </sheetView>
  </sheetViews>
  <sheetFormatPr baseColWidth="10" defaultRowHeight="14.5" x14ac:dyDescent="0.35"/>
  <cols>
    <col min="1" max="1" width="19.7265625" bestFit="1" customWidth="1"/>
    <col min="2" max="2" width="19.36328125" style="1" bestFit="1" customWidth="1"/>
    <col min="3" max="3" width="21.90625" style="1" bestFit="1" customWidth="1"/>
    <col min="4" max="4" width="9.81640625" style="1" bestFit="1" customWidth="1"/>
    <col min="5" max="5" width="18.26953125" style="1" bestFit="1" customWidth="1"/>
    <col min="6" max="6" width="21.08984375" style="1" bestFit="1" customWidth="1"/>
  </cols>
  <sheetData>
    <row r="1" spans="1:6" x14ac:dyDescent="0.35">
      <c r="A1" s="3" t="s">
        <v>0</v>
      </c>
      <c r="B1" s="4" t="s">
        <v>2</v>
      </c>
      <c r="C1" s="4" t="s">
        <v>5</v>
      </c>
      <c r="D1" s="4" t="s">
        <v>6</v>
      </c>
      <c r="E1" s="4" t="s">
        <v>4</v>
      </c>
      <c r="F1" s="4" t="s">
        <v>3</v>
      </c>
    </row>
    <row r="2" spans="1:6" x14ac:dyDescent="0.35">
      <c r="A2" s="10" t="s">
        <v>1</v>
      </c>
      <c r="B2" s="11">
        <v>328</v>
      </c>
      <c r="C2" s="6">
        <v>202</v>
      </c>
      <c r="D2" s="7">
        <f>(C2*100)/B2</f>
        <v>61.585365853658537</v>
      </c>
      <c r="E2" s="6">
        <v>1049</v>
      </c>
      <c r="F2" s="6" t="s">
        <v>11</v>
      </c>
    </row>
    <row r="3" spans="1:6" x14ac:dyDescent="0.35">
      <c r="A3" s="10" t="s">
        <v>7</v>
      </c>
      <c r="B3" s="11">
        <v>46</v>
      </c>
      <c r="C3" s="6">
        <v>5</v>
      </c>
      <c r="D3" s="7">
        <f>(C3*100)/B3</f>
        <v>10.869565217391305</v>
      </c>
      <c r="E3" s="6">
        <v>74</v>
      </c>
      <c r="F3" s="6" t="s">
        <v>12</v>
      </c>
    </row>
    <row r="4" spans="1:6" x14ac:dyDescent="0.35">
      <c r="A4" s="10" t="s">
        <v>8</v>
      </c>
      <c r="B4" s="11">
        <v>82</v>
      </c>
      <c r="C4" s="6">
        <v>8</v>
      </c>
      <c r="D4" s="7">
        <f t="shared" ref="D4:D5" si="0">(C4*100)/B4</f>
        <v>9.7560975609756095</v>
      </c>
      <c r="E4" s="6" t="s">
        <v>10</v>
      </c>
      <c r="F4" s="6" t="s">
        <v>12</v>
      </c>
    </row>
    <row r="5" spans="1:6" x14ac:dyDescent="0.35">
      <c r="A5" s="10" t="s">
        <v>9</v>
      </c>
      <c r="B5" s="11">
        <v>23</v>
      </c>
      <c r="C5" s="6">
        <v>6</v>
      </c>
      <c r="D5" s="7">
        <f t="shared" si="0"/>
        <v>26.086956521739129</v>
      </c>
      <c r="E5" s="6" t="s">
        <v>10</v>
      </c>
      <c r="F5" s="6" t="s">
        <v>12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1849-A1A9-4E05-97A1-E2B79B421503}">
  <dimension ref="A1:F10"/>
  <sheetViews>
    <sheetView workbookViewId="0">
      <selection activeCell="C20" sqref="C20"/>
    </sheetView>
  </sheetViews>
  <sheetFormatPr baseColWidth="10" defaultRowHeight="14.5" x14ac:dyDescent="0.35"/>
  <cols>
    <col min="1" max="1" width="7.36328125" bestFit="1" customWidth="1"/>
    <col min="2" max="2" width="9.26953125" bestFit="1" customWidth="1"/>
    <col min="3" max="3" width="10" style="1" bestFit="1" customWidth="1"/>
    <col min="4" max="4" width="9.36328125" style="1" customWidth="1"/>
    <col min="5" max="5" width="18" style="1" bestFit="1" customWidth="1"/>
    <col min="6" max="6" width="12.26953125" style="1" bestFit="1" customWidth="1"/>
  </cols>
  <sheetData>
    <row r="1" spans="1:6" x14ac:dyDescent="0.35">
      <c r="A1" s="3" t="s">
        <v>13</v>
      </c>
      <c r="B1" s="3" t="s">
        <v>0</v>
      </c>
      <c r="C1" s="4" t="s">
        <v>14</v>
      </c>
      <c r="D1" s="4" t="s">
        <v>15</v>
      </c>
      <c r="E1" s="4" t="s">
        <v>17</v>
      </c>
      <c r="F1" s="4" t="s">
        <v>18</v>
      </c>
    </row>
    <row r="2" spans="1:6" x14ac:dyDescent="0.35">
      <c r="A2" s="5">
        <v>0</v>
      </c>
      <c r="B2" s="5" t="s">
        <v>1</v>
      </c>
      <c r="C2" s="6">
        <v>202</v>
      </c>
      <c r="D2" s="6">
        <v>202</v>
      </c>
      <c r="E2" s="6">
        <v>25</v>
      </c>
      <c r="F2" s="6">
        <v>0</v>
      </c>
    </row>
    <row r="3" spans="1:6" x14ac:dyDescent="0.35">
      <c r="A3" s="5">
        <v>1</v>
      </c>
      <c r="B3" s="5" t="s">
        <v>1</v>
      </c>
      <c r="C3" s="6">
        <f>C2-$E$2</f>
        <v>177</v>
      </c>
      <c r="D3" s="6">
        <f>D2-F3</f>
        <v>164</v>
      </c>
      <c r="E3" s="6">
        <v>25</v>
      </c>
      <c r="F3" s="6">
        <v>38</v>
      </c>
    </row>
    <row r="4" spans="1:6" x14ac:dyDescent="0.35">
      <c r="A4" s="5">
        <v>2</v>
      </c>
      <c r="B4" s="5" t="s">
        <v>1</v>
      </c>
      <c r="C4" s="6">
        <f t="shared" ref="C4:C10" si="0">C3-$E$2</f>
        <v>152</v>
      </c>
      <c r="D4" s="6">
        <f>D3-F4</f>
        <v>144</v>
      </c>
      <c r="E4" s="6">
        <v>25</v>
      </c>
      <c r="F4" s="6">
        <v>20</v>
      </c>
    </row>
    <row r="5" spans="1:6" x14ac:dyDescent="0.35">
      <c r="A5" s="5">
        <v>3</v>
      </c>
      <c r="B5" s="5" t="s">
        <v>1</v>
      </c>
      <c r="C5" s="6">
        <f t="shared" si="0"/>
        <v>127</v>
      </c>
      <c r="D5" s="6"/>
      <c r="E5" s="6">
        <v>25</v>
      </c>
      <c r="F5" s="6"/>
    </row>
    <row r="6" spans="1:6" x14ac:dyDescent="0.35">
      <c r="A6" s="5">
        <v>4</v>
      </c>
      <c r="B6" s="5" t="s">
        <v>1</v>
      </c>
      <c r="C6" s="6">
        <f t="shared" si="0"/>
        <v>102</v>
      </c>
      <c r="D6" s="6"/>
      <c r="E6" s="6">
        <v>25</v>
      </c>
      <c r="F6" s="6"/>
    </row>
    <row r="7" spans="1:6" x14ac:dyDescent="0.35">
      <c r="A7" s="5">
        <v>5</v>
      </c>
      <c r="B7" s="5" t="s">
        <v>1</v>
      </c>
      <c r="C7" s="6">
        <f t="shared" si="0"/>
        <v>77</v>
      </c>
      <c r="D7" s="6"/>
      <c r="E7" s="6">
        <v>25</v>
      </c>
      <c r="F7" s="6"/>
    </row>
    <row r="8" spans="1:6" x14ac:dyDescent="0.35">
      <c r="A8" s="5">
        <v>6</v>
      </c>
      <c r="B8" s="5" t="s">
        <v>1</v>
      </c>
      <c r="C8" s="6">
        <f t="shared" si="0"/>
        <v>52</v>
      </c>
      <c r="D8" s="6"/>
      <c r="E8" s="6">
        <v>25</v>
      </c>
      <c r="F8" s="6"/>
    </row>
    <row r="9" spans="1:6" x14ac:dyDescent="0.35">
      <c r="A9" s="5">
        <v>7</v>
      </c>
      <c r="B9" s="5" t="s">
        <v>1</v>
      </c>
      <c r="C9" s="6">
        <f t="shared" si="0"/>
        <v>27</v>
      </c>
      <c r="D9" s="6"/>
      <c r="E9" s="6">
        <v>27</v>
      </c>
      <c r="F9" s="6"/>
    </row>
    <row r="10" spans="1:6" x14ac:dyDescent="0.35">
      <c r="A10" s="5">
        <v>8</v>
      </c>
      <c r="B10" s="5" t="s">
        <v>1</v>
      </c>
      <c r="C10" s="6">
        <f t="shared" si="0"/>
        <v>2</v>
      </c>
      <c r="D10" s="6"/>
      <c r="E10" s="6"/>
      <c r="F10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B52B-56FF-4E38-A246-A8F336FD8B79}">
  <dimension ref="A1:F10"/>
  <sheetViews>
    <sheetView workbookViewId="0">
      <selection activeCell="D4" sqref="D4"/>
    </sheetView>
  </sheetViews>
  <sheetFormatPr baseColWidth="10" defaultRowHeight="14.5" x14ac:dyDescent="0.35"/>
  <cols>
    <col min="1" max="1" width="7.36328125" bestFit="1" customWidth="1"/>
    <col min="2" max="2" width="9.26953125" bestFit="1" customWidth="1"/>
    <col min="3" max="3" width="10" style="1" bestFit="1" customWidth="1"/>
    <col min="4" max="4" width="9.36328125" style="1" customWidth="1"/>
    <col min="5" max="5" width="18" style="1" bestFit="1" customWidth="1"/>
    <col min="6" max="6" width="9.54296875" style="1" bestFit="1" customWidth="1"/>
  </cols>
  <sheetData>
    <row r="1" spans="1:6" x14ac:dyDescent="0.35">
      <c r="A1" s="3" t="s">
        <v>13</v>
      </c>
      <c r="B1" s="3" t="s">
        <v>0</v>
      </c>
      <c r="C1" s="4" t="s">
        <v>14</v>
      </c>
      <c r="D1" s="4" t="s">
        <v>15</v>
      </c>
      <c r="E1" s="4" t="s">
        <v>17</v>
      </c>
      <c r="F1" s="4" t="s">
        <v>16</v>
      </c>
    </row>
    <row r="2" spans="1:6" x14ac:dyDescent="0.35">
      <c r="A2" s="5">
        <v>0</v>
      </c>
      <c r="B2" s="5" t="s">
        <v>1</v>
      </c>
      <c r="C2" s="6">
        <v>1049</v>
      </c>
      <c r="D2" s="6">
        <v>1049</v>
      </c>
      <c r="E2" s="6">
        <v>131</v>
      </c>
      <c r="F2" s="6">
        <v>0</v>
      </c>
    </row>
    <row r="3" spans="1:6" x14ac:dyDescent="0.35">
      <c r="A3" s="5">
        <v>1</v>
      </c>
      <c r="B3" s="5" t="s">
        <v>1</v>
      </c>
      <c r="C3" s="6">
        <f>C2-$E$2</f>
        <v>918</v>
      </c>
      <c r="D3" s="6">
        <f>D2-F3</f>
        <v>983</v>
      </c>
      <c r="E3" s="6">
        <v>131</v>
      </c>
      <c r="F3" s="6">
        <v>66</v>
      </c>
    </row>
    <row r="4" spans="1:6" x14ac:dyDescent="0.35">
      <c r="A4" s="5">
        <v>2</v>
      </c>
      <c r="B4" s="5" t="s">
        <v>1</v>
      </c>
      <c r="C4" s="6">
        <f t="shared" ref="C4:C10" si="0">C3-$E$2</f>
        <v>787</v>
      </c>
      <c r="D4" s="6">
        <f>D3-F4</f>
        <v>933</v>
      </c>
      <c r="E4" s="6">
        <v>131</v>
      </c>
      <c r="F4" s="6">
        <v>50</v>
      </c>
    </row>
    <row r="5" spans="1:6" x14ac:dyDescent="0.35">
      <c r="A5" s="5">
        <v>3</v>
      </c>
      <c r="B5" s="5" t="s">
        <v>1</v>
      </c>
      <c r="C5" s="6">
        <f t="shared" si="0"/>
        <v>656</v>
      </c>
      <c r="D5" s="6"/>
      <c r="E5" s="6">
        <v>131</v>
      </c>
      <c r="F5" s="6"/>
    </row>
    <row r="6" spans="1:6" x14ac:dyDescent="0.35">
      <c r="A6" s="5">
        <v>4</v>
      </c>
      <c r="B6" s="5" t="s">
        <v>1</v>
      </c>
      <c r="C6" s="6">
        <f t="shared" si="0"/>
        <v>525</v>
      </c>
      <c r="D6" s="6"/>
      <c r="E6" s="6">
        <v>131</v>
      </c>
      <c r="F6" s="6"/>
    </row>
    <row r="7" spans="1:6" x14ac:dyDescent="0.35">
      <c r="A7" s="5">
        <v>5</v>
      </c>
      <c r="B7" s="5" t="s">
        <v>1</v>
      </c>
      <c r="C7" s="6">
        <f t="shared" si="0"/>
        <v>394</v>
      </c>
      <c r="D7" s="6"/>
      <c r="E7" s="6">
        <v>131</v>
      </c>
      <c r="F7" s="6"/>
    </row>
    <row r="8" spans="1:6" x14ac:dyDescent="0.35">
      <c r="A8" s="5">
        <v>6</v>
      </c>
      <c r="B8" s="5" t="s">
        <v>1</v>
      </c>
      <c r="C8" s="6">
        <f t="shared" si="0"/>
        <v>263</v>
      </c>
      <c r="D8" s="6"/>
      <c r="E8" s="6">
        <v>131</v>
      </c>
      <c r="F8" s="6"/>
    </row>
    <row r="9" spans="1:6" x14ac:dyDescent="0.35">
      <c r="A9" s="5">
        <v>7</v>
      </c>
      <c r="B9" s="5" t="s">
        <v>1</v>
      </c>
      <c r="C9" s="6">
        <f t="shared" si="0"/>
        <v>132</v>
      </c>
      <c r="D9" s="6"/>
      <c r="E9" s="6">
        <v>132</v>
      </c>
      <c r="F9" s="6"/>
    </row>
    <row r="10" spans="1:6" x14ac:dyDescent="0.35">
      <c r="A10" s="5">
        <v>8</v>
      </c>
      <c r="B10" s="5" t="s">
        <v>1</v>
      </c>
      <c r="C10" s="6">
        <f t="shared" si="0"/>
        <v>1</v>
      </c>
      <c r="D10" s="6"/>
      <c r="E10" s="6"/>
      <c r="F10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5EDFD-2DED-4B82-BC46-A3A7E7C548CD}">
  <dimension ref="A1:J21"/>
  <sheetViews>
    <sheetView tabSelected="1" workbookViewId="0">
      <selection activeCell="L8" sqref="L8"/>
    </sheetView>
  </sheetViews>
  <sheetFormatPr baseColWidth="10" defaultRowHeight="14.5" x14ac:dyDescent="0.35"/>
  <cols>
    <col min="2" max="2" width="28.26953125" bestFit="1" customWidth="1"/>
    <col min="3" max="10" width="10.90625" style="1"/>
  </cols>
  <sheetData>
    <row r="1" spans="1:10" x14ac:dyDescent="0.35">
      <c r="A1" s="9" t="s">
        <v>0</v>
      </c>
      <c r="B1" s="9" t="s">
        <v>19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</row>
    <row r="2" spans="1:10" x14ac:dyDescent="0.35">
      <c r="A2" t="s">
        <v>1</v>
      </c>
      <c r="B2" s="8" t="s">
        <v>20</v>
      </c>
      <c r="C2" s="1">
        <v>63</v>
      </c>
      <c r="D2" s="1">
        <v>91</v>
      </c>
    </row>
    <row r="3" spans="1:10" x14ac:dyDescent="0.35">
      <c r="A3" t="s">
        <v>1</v>
      </c>
      <c r="B3" s="8" t="s">
        <v>21</v>
      </c>
      <c r="C3" s="1">
        <v>19</v>
      </c>
      <c r="D3" s="1">
        <v>37</v>
      </c>
    </row>
    <row r="4" spans="1:10" x14ac:dyDescent="0.35">
      <c r="A4" t="s">
        <v>1</v>
      </c>
      <c r="B4" s="8" t="s">
        <v>22</v>
      </c>
      <c r="C4" s="1">
        <v>13</v>
      </c>
      <c r="D4" s="1">
        <v>16</v>
      </c>
    </row>
    <row r="5" spans="1:10" x14ac:dyDescent="0.35">
      <c r="A5" t="s">
        <v>1</v>
      </c>
      <c r="B5" s="8" t="s">
        <v>23</v>
      </c>
      <c r="C5" s="1">
        <v>8</v>
      </c>
      <c r="D5" s="1">
        <v>16</v>
      </c>
    </row>
    <row r="6" spans="1:10" x14ac:dyDescent="0.35">
      <c r="A6" t="s">
        <v>1</v>
      </c>
      <c r="B6" s="8" t="s">
        <v>24</v>
      </c>
      <c r="C6" s="1">
        <v>16</v>
      </c>
      <c r="D6" s="1">
        <v>30</v>
      </c>
    </row>
    <row r="7" spans="1:10" x14ac:dyDescent="0.35">
      <c r="A7" t="s">
        <v>1</v>
      </c>
      <c r="B7" s="9" t="s">
        <v>25</v>
      </c>
      <c r="C7" s="2">
        <f>SUM(C2:C6)</f>
        <v>119</v>
      </c>
      <c r="D7" s="2">
        <f t="shared" ref="D7:J7" si="0">SUM(D2:D6)</f>
        <v>190</v>
      </c>
      <c r="E7" s="2">
        <f t="shared" si="0"/>
        <v>0</v>
      </c>
      <c r="F7" s="2">
        <f t="shared" si="0"/>
        <v>0</v>
      </c>
      <c r="G7" s="2">
        <f t="shared" si="0"/>
        <v>0</v>
      </c>
      <c r="H7" s="2">
        <f t="shared" si="0"/>
        <v>0</v>
      </c>
      <c r="I7" s="2">
        <f t="shared" si="0"/>
        <v>0</v>
      </c>
      <c r="J7" s="2">
        <f t="shared" si="0"/>
        <v>0</v>
      </c>
    </row>
    <row r="8" spans="1:10" x14ac:dyDescent="0.35">
      <c r="A8" t="s">
        <v>1</v>
      </c>
      <c r="B8" s="9" t="s">
        <v>43</v>
      </c>
      <c r="C8" s="2">
        <f>SUM(C2:C6)-C6</f>
        <v>103</v>
      </c>
      <c r="D8" s="2">
        <f t="shared" ref="D8:J8" si="1">SUM(D2:D6)-D6</f>
        <v>160</v>
      </c>
      <c r="E8" s="2">
        <f t="shared" si="1"/>
        <v>0</v>
      </c>
      <c r="F8" s="2">
        <f t="shared" si="1"/>
        <v>0</v>
      </c>
      <c r="G8" s="2">
        <f t="shared" si="1"/>
        <v>0</v>
      </c>
      <c r="H8" s="2">
        <f t="shared" si="1"/>
        <v>0</v>
      </c>
      <c r="I8" s="2">
        <f t="shared" si="1"/>
        <v>0</v>
      </c>
      <c r="J8" s="2">
        <f t="shared" si="1"/>
        <v>0</v>
      </c>
    </row>
    <row r="10" spans="1:10" x14ac:dyDescent="0.35">
      <c r="A10" s="9" t="s">
        <v>0</v>
      </c>
      <c r="B10" s="9" t="s">
        <v>34</v>
      </c>
      <c r="C10" s="2" t="s">
        <v>26</v>
      </c>
      <c r="D10" s="2" t="s">
        <v>27</v>
      </c>
      <c r="E10" s="2" t="s">
        <v>28</v>
      </c>
      <c r="F10" s="2" t="s">
        <v>29</v>
      </c>
      <c r="G10" s="2" t="s">
        <v>30</v>
      </c>
      <c r="H10" s="2" t="s">
        <v>31</v>
      </c>
      <c r="I10" s="2" t="s">
        <v>32</v>
      </c>
      <c r="J10" s="2" t="s">
        <v>33</v>
      </c>
    </row>
    <row r="11" spans="1:10" x14ac:dyDescent="0.35">
      <c r="A11" t="s">
        <v>1</v>
      </c>
      <c r="B11" s="8" t="s">
        <v>35</v>
      </c>
      <c r="C11" s="1">
        <v>23</v>
      </c>
      <c r="D11" s="1">
        <v>23</v>
      </c>
    </row>
    <row r="12" spans="1:10" x14ac:dyDescent="0.35">
      <c r="A12" t="s">
        <v>1</v>
      </c>
      <c r="B12" s="8" t="s">
        <v>36</v>
      </c>
      <c r="C12" s="1">
        <v>5</v>
      </c>
      <c r="D12" s="1">
        <v>5</v>
      </c>
    </row>
    <row r="13" spans="1:10" x14ac:dyDescent="0.35">
      <c r="A13" t="s">
        <v>1</v>
      </c>
      <c r="B13" s="8" t="s">
        <v>37</v>
      </c>
      <c r="C13" s="1">
        <v>14</v>
      </c>
      <c r="D13" s="1">
        <v>14</v>
      </c>
    </row>
    <row r="14" spans="1:10" x14ac:dyDescent="0.35">
      <c r="A14" t="s">
        <v>1</v>
      </c>
      <c r="B14" s="8" t="s">
        <v>38</v>
      </c>
      <c r="C14" s="1">
        <v>7</v>
      </c>
      <c r="D14" s="1">
        <v>7</v>
      </c>
    </row>
    <row r="15" spans="1:10" x14ac:dyDescent="0.35">
      <c r="A15" t="s">
        <v>1</v>
      </c>
      <c r="B15" s="8" t="s">
        <v>39</v>
      </c>
      <c r="C15" s="1">
        <v>4</v>
      </c>
      <c r="D15" s="1">
        <v>4</v>
      </c>
    </row>
    <row r="16" spans="1:10" x14ac:dyDescent="0.35">
      <c r="A16" t="s">
        <v>1</v>
      </c>
      <c r="B16" s="8" t="s">
        <v>40</v>
      </c>
      <c r="C16" s="1">
        <v>7</v>
      </c>
      <c r="D16" s="1">
        <v>7</v>
      </c>
    </row>
    <row r="17" spans="1:10" x14ac:dyDescent="0.35">
      <c r="A17" t="s">
        <v>1</v>
      </c>
      <c r="B17" s="8" t="s">
        <v>41</v>
      </c>
      <c r="C17" s="1">
        <v>3</v>
      </c>
      <c r="D17" s="1">
        <v>4</v>
      </c>
    </row>
    <row r="18" spans="1:10" x14ac:dyDescent="0.35">
      <c r="A18" t="s">
        <v>1</v>
      </c>
      <c r="B18" s="8" t="s">
        <v>42</v>
      </c>
      <c r="C18" s="1">
        <v>40</v>
      </c>
      <c r="D18" s="1">
        <v>96</v>
      </c>
    </row>
    <row r="19" spans="1:10" x14ac:dyDescent="0.35">
      <c r="A19" t="s">
        <v>1</v>
      </c>
      <c r="B19" s="8" t="s">
        <v>24</v>
      </c>
      <c r="C19" s="1">
        <v>16</v>
      </c>
      <c r="D19" s="1">
        <v>30</v>
      </c>
    </row>
    <row r="20" spans="1:10" x14ac:dyDescent="0.35">
      <c r="A20" t="s">
        <v>1</v>
      </c>
      <c r="B20" s="9" t="s">
        <v>25</v>
      </c>
      <c r="C20" s="2">
        <f>SUM(C11:C19)</f>
        <v>119</v>
      </c>
      <c r="D20" s="2">
        <f>SUM(D11:D19)</f>
        <v>190</v>
      </c>
      <c r="E20" s="2">
        <f t="shared" ref="E20" si="2">SUM(E14:E18)</f>
        <v>0</v>
      </c>
      <c r="F20" s="2">
        <f t="shared" ref="F20" si="3">SUM(F14:F18)</f>
        <v>0</v>
      </c>
      <c r="G20" s="2">
        <f t="shared" ref="G20" si="4">SUM(G14:G18)</f>
        <v>0</v>
      </c>
      <c r="H20" s="2">
        <f t="shared" ref="H20" si="5">SUM(H14:H18)</f>
        <v>0</v>
      </c>
      <c r="I20" s="2">
        <f t="shared" ref="I20" si="6">SUM(I14:I18)</f>
        <v>0</v>
      </c>
      <c r="J20" s="2">
        <f t="shared" ref="J20" si="7">SUM(J14:J18)</f>
        <v>0</v>
      </c>
    </row>
    <row r="21" spans="1:10" x14ac:dyDescent="0.35">
      <c r="A21" t="s">
        <v>1</v>
      </c>
      <c r="B21" s="9" t="s">
        <v>43</v>
      </c>
      <c r="C21" s="2">
        <f>SUM(C11:C19)-C19</f>
        <v>103</v>
      </c>
      <c r="D21" s="2">
        <f>SUM(D11:D19)-D19</f>
        <v>160</v>
      </c>
      <c r="E21" s="2">
        <f t="shared" ref="E21:J21" si="8">SUM(E14:E18)-E18</f>
        <v>0</v>
      </c>
      <c r="F21" s="2">
        <f t="shared" si="8"/>
        <v>0</v>
      </c>
      <c r="G21" s="2">
        <f t="shared" si="8"/>
        <v>0</v>
      </c>
      <c r="H21" s="2">
        <f t="shared" si="8"/>
        <v>0</v>
      </c>
      <c r="I21" s="2">
        <f t="shared" si="8"/>
        <v>0</v>
      </c>
      <c r="J21" s="2">
        <f t="shared" si="8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BC_F</vt:lpstr>
      <vt:lpstr>BC_CP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Rivera</dc:creator>
  <cp:lastModifiedBy>Abraham Rivera</cp:lastModifiedBy>
  <dcterms:created xsi:type="dcterms:W3CDTF">2026-04-24T14:56:32Z</dcterms:created>
  <dcterms:modified xsi:type="dcterms:W3CDTF">2026-04-30T12:52:49Z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2026-04-24T17:31:41Z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ca117433-be25-4cd1-b0f4-921f121b9031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