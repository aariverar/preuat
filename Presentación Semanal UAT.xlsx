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A\WrampUp - copia\"/>
    </mc:Choice>
  </mc:AlternateContent>
  <xr:revisionPtr revIDLastSave="0" documentId="13_ncr:1_{A7526D54-778D-449B-8E81-43BEDD005CA2}" xr6:coauthVersionLast="47" xr6:coauthVersionMax="47" xr10:uidLastSave="{00000000-0000-0000-0000-000000000000}"/>
  <bookViews>
    <workbookView xWindow="-110" yWindow="-110" windowWidth="19420" windowHeight="11500" activeTab="1" xr2:uid="{27A98AC9-9505-493B-985E-2D79FFCBCA40}"/>
  </bookViews>
  <sheets>
    <sheet name="Base" sheetId="1" r:id="rId1"/>
    <sheet name="BC_F" sheetId="3" r:id="rId2"/>
    <sheet name="BC_CP" sheetId="2" r:id="rId3"/>
    <sheet name="Obs_1" sheetId="4" r:id="rId4"/>
    <sheet name="Obs_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8" i="4" l="1"/>
  <c r="H11" i="4"/>
  <c r="H10" i="4"/>
  <c r="D8" i="3"/>
  <c r="C9" i="3"/>
  <c r="C10" i="3"/>
  <c r="D7" i="3"/>
  <c r="C8" i="3"/>
  <c r="C7" i="3"/>
  <c r="C6" i="3"/>
  <c r="C5" i="3"/>
  <c r="D7" i="2"/>
  <c r="H12" i="5"/>
  <c r="H11" i="5"/>
  <c r="H5" i="5"/>
  <c r="H4" i="5"/>
  <c r="G28" i="4" l="1"/>
  <c r="G11" i="4"/>
  <c r="G10" i="4"/>
  <c r="D13" i="2"/>
  <c r="D13" i="3"/>
  <c r="I28" i="4"/>
  <c r="J28" i="4"/>
  <c r="G29" i="4"/>
  <c r="H29" i="4"/>
  <c r="I29" i="4"/>
  <c r="J29" i="4"/>
  <c r="F29" i="4"/>
  <c r="E29" i="4"/>
  <c r="F28" i="4"/>
  <c r="D6" i="3"/>
  <c r="D5" i="3"/>
  <c r="D4" i="3"/>
  <c r="D3" i="3"/>
  <c r="C3" i="3"/>
  <c r="C4" i="3"/>
  <c r="C3" i="2"/>
  <c r="C11" i="3"/>
  <c r="C28" i="4"/>
  <c r="F11" i="4"/>
  <c r="F10" i="4"/>
  <c r="E11" i="4"/>
  <c r="E10" i="4"/>
  <c r="D11" i="4"/>
  <c r="D10" i="4"/>
  <c r="C11" i="4"/>
  <c r="C10" i="4"/>
  <c r="D6" i="2"/>
  <c r="D29" i="4"/>
  <c r="D28" i="4"/>
  <c r="E28" i="4"/>
  <c r="D5" i="2"/>
  <c r="D4" i="2"/>
  <c r="C29" i="4"/>
  <c r="I11" i="4"/>
  <c r="J11" i="4"/>
  <c r="I10" i="4"/>
  <c r="J10" i="4"/>
  <c r="D3" i="2"/>
  <c r="C4" i="2"/>
  <c r="C5" i="2" s="1"/>
  <c r="C6" i="2" s="1"/>
  <c r="C7" i="2" s="1"/>
  <c r="C8" i="2" s="1"/>
  <c r="C9" i="2" s="1"/>
  <c r="C10" i="2" s="1"/>
  <c r="C11" i="2" s="1"/>
  <c r="D4" i="1" l="1"/>
  <c r="D5" i="1"/>
  <c r="D3" i="1" l="1"/>
  <c r="D2" i="1"/>
</calcChain>
</file>

<file path=xl/sharedStrings.xml><?xml version="1.0" encoding="utf-8"?>
<sst xmlns="http://schemas.openxmlformats.org/spreadsheetml/2006/main" count="168" uniqueCount="52">
  <si>
    <t>Aplicación</t>
  </si>
  <si>
    <t>Bantotal</t>
  </si>
  <si>
    <t>Total Funcionalidades</t>
  </si>
  <si>
    <t>Duración de las pruebas</t>
  </si>
  <si>
    <t>Cantidad CP PREUAT</t>
  </si>
  <si>
    <t>Funcionalidades PREUAT</t>
  </si>
  <si>
    <t>Porcentaje</t>
  </si>
  <si>
    <t>ODS - App Móvil</t>
  </si>
  <si>
    <t>ODS SPACE - IVR</t>
  </si>
  <si>
    <t>2 Semanas</t>
  </si>
  <si>
    <t>Semana</t>
  </si>
  <si>
    <t>Proyectado</t>
  </si>
  <si>
    <t>Real</t>
  </si>
  <si>
    <t>Diario Real</t>
  </si>
  <si>
    <t>Semanal Proyectado</t>
  </si>
  <si>
    <t>Semanal Real</t>
  </si>
  <si>
    <t>Estado</t>
  </si>
  <si>
    <t>WORK IN PROGRESS</t>
  </si>
  <si>
    <t>RESUELTOS</t>
  </si>
  <si>
    <t>TOTAL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</si>
  <si>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</si>
  <si>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</si>
  <si>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</si>
  <si>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</si>
  <si>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</si>
  <si>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</si>
  <si>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</si>
  <si>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</si>
  <si>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Grupos Funcionales</t>
  </si>
  <si>
    <t>Arqueo y Cierre de Caja</t>
  </si>
  <si>
    <t>Boveda</t>
  </si>
  <si>
    <t>Remesas</t>
  </si>
  <si>
    <t>Depósitos/Retiros/Transferencias</t>
  </si>
  <si>
    <t>Gestión de Cuentas de Ahorro</t>
  </si>
  <si>
    <t>Perfilamiento</t>
  </si>
  <si>
    <t>TOTAL ABIERTOS</t>
  </si>
  <si>
    <t>Mantenimiento Datos Cliente</t>
  </si>
  <si>
    <t>Gestión de DPF</t>
  </si>
  <si>
    <t>Gestión de Cuentas CTS</t>
  </si>
  <si>
    <t>Compra y Venta de Dólares</t>
  </si>
  <si>
    <t>Gestión de Préstamos</t>
  </si>
  <si>
    <t>Simulación de Préstamos</t>
  </si>
  <si>
    <t>DEFECTO FUNCIONAL</t>
  </si>
  <si>
    <t>GAP DE PAQUETE</t>
  </si>
  <si>
    <t>NO APLICA</t>
  </si>
  <si>
    <t>DEFECTO PARAMETRÍA</t>
  </si>
  <si>
    <t>8 Semanas</t>
  </si>
  <si>
    <t>ODS SPACE - Reclamos y Dalis</t>
  </si>
  <si>
    <t>Registro del Reclamo</t>
  </si>
  <si>
    <t>Consulta del Reclamo</t>
  </si>
  <si>
    <t>ISSUE - CRÍTICO</t>
  </si>
  <si>
    <t>ISSUE - NO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</si>
</sst>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2" fillId="0" borderId="0" xfId="0" applyFont="1"/>
    <xf numFmtId="0" fontId="0" fillId="0" borderId="6" xfId="0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2" xfId="0" applyBorder="1"/>
    <xf numFmtId="0" fontId="2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2" borderId="6" xfId="0" applyFont="1" applyFill="1" applyBorder="1"/>
    <xf numFmtId="0" fontId="1" fillId="2" borderId="9" xfId="0" applyFont="1" applyFill="1" applyBorder="1"/>
    <xf numFmtId="0" fontId="0" fillId="0" borderId="4" xfId="0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BC_F!$C$1</c:f>
              <c:strCache>
                <c:ptCount val="1"/>
                <c:pt idx="0">
                  <c:v>Proyectado</c:v>
                </c:pt>
              </c:strCache>
            </c:strRef>
          </c:tx>
          <c:spPr>
            <a:ln w="22225" cap="rnd" cmpd="sng" algn="ctr">
              <a:solidFill>
                <a:srgbClr val="458FA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BC_F!$C$2:$C$10</c:f>
              <c:numCache>
                <c:formatCode>General</c:formatCode>
                <c:ptCount val="9"/>
                <c:pt idx="0">
                  <c:v>202</c:v>
                </c:pt>
                <c:pt idx="1">
                  <c:v>179</c:v>
                </c:pt>
                <c:pt idx="2">
                  <c:v>156</c:v>
                </c:pt>
                <c:pt idx="3">
                  <c:v>136</c:v>
                </c:pt>
                <c:pt idx="4">
                  <c:v>116</c:v>
                </c:pt>
                <c:pt idx="5">
                  <c:v>93</c:v>
                </c:pt>
                <c:pt idx="6">
                  <c:v>57</c:v>
                </c:pt>
                <c:pt idx="7">
                  <c:v>34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8-4212-BBB7-BCD279D05F4E}"/>
            </c:ext>
          </c:extLst>
        </c:ser>
        <c:ser>
          <c:idx val="1"/>
          <c:order val="1"/>
          <c:tx>
            <c:strRef>
              <c:f>BC_F!$D$1</c:f>
              <c:strCache>
                <c:ptCount val="1"/>
                <c:pt idx="0">
                  <c:v>Real</c:v>
                </c:pt>
              </c:strCache>
            </c:strRef>
          </c:tx>
          <c:spPr>
            <a:ln w="22225" cap="rnd" cmpd="sng" algn="ctr">
              <a:solidFill>
                <a:srgbClr val="404040">
                  <a:lumMod val="50000"/>
                </a:srgb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3.474966170500679E-2"/>
                  <c:y val="5.2667369928041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D8-4212-BBB7-BCD279D05F4E}"/>
                </c:ext>
              </c:extLst>
            </c:dLbl>
            <c:dLbl>
              <c:idx val="2"/>
              <c:layout>
                <c:manualLayout>
                  <c:x val="-4.2868741542625169E-2"/>
                  <c:y val="5.2667369928041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F2-4ACE-BA43-26898F74B067}"/>
                </c:ext>
              </c:extLst>
            </c:dLbl>
            <c:dLbl>
              <c:idx val="3"/>
              <c:layout>
                <c:manualLayout>
                  <c:x val="-4.0162381596752367E-2"/>
                  <c:y val="6.22367479184718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F2-4ACE-BA43-26898F74B0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BC_F!$D$2:$D$10</c:f>
              <c:numCache>
                <c:formatCode>General</c:formatCode>
                <c:ptCount val="9"/>
                <c:pt idx="0">
                  <c:v>202</c:v>
                </c:pt>
                <c:pt idx="1">
                  <c:v>164</c:v>
                </c:pt>
                <c:pt idx="2">
                  <c:v>144</c:v>
                </c:pt>
                <c:pt idx="3">
                  <c:v>129</c:v>
                </c:pt>
                <c:pt idx="4">
                  <c:v>116</c:v>
                </c:pt>
                <c:pt idx="5">
                  <c:v>80</c:v>
                </c:pt>
                <c:pt idx="6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8-4212-BBB7-BCD279D05F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7214208"/>
        <c:axId val="137210368"/>
      </c:lineChart>
      <c:catAx>
        <c:axId val="13721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210368"/>
        <c:crosses val="autoZero"/>
        <c:auto val="1"/>
        <c:lblAlgn val="ctr"/>
        <c:lblOffset val="100"/>
        <c:noMultiLvlLbl val="0"/>
      </c:catAx>
      <c:valAx>
        <c:axId val="137210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2142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BC_CP!$C$1</c:f>
              <c:strCache>
                <c:ptCount val="1"/>
                <c:pt idx="0">
                  <c:v>Proyectado</c:v>
                </c:pt>
              </c:strCache>
            </c:strRef>
          </c:tx>
          <c:spPr>
            <a:ln w="22225" cap="rnd" cmpd="sng" algn="ctr">
              <a:solidFill>
                <a:srgbClr val="458FA3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1515561569688796E-2"/>
                  <c:y val="3.59209584447877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17-408D-91DA-F4522F560F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BC_CP!$C$2:$C$10</c:f>
              <c:numCache>
                <c:formatCode>General</c:formatCode>
                <c:ptCount val="9"/>
                <c:pt idx="0">
                  <c:v>1049</c:v>
                </c:pt>
                <c:pt idx="1">
                  <c:v>933</c:v>
                </c:pt>
                <c:pt idx="2">
                  <c:v>817</c:v>
                </c:pt>
                <c:pt idx="3">
                  <c:v>701</c:v>
                </c:pt>
                <c:pt idx="4">
                  <c:v>585</c:v>
                </c:pt>
                <c:pt idx="5">
                  <c:v>469</c:v>
                </c:pt>
                <c:pt idx="6">
                  <c:v>353</c:v>
                </c:pt>
                <c:pt idx="7">
                  <c:v>237</c:v>
                </c:pt>
                <c:pt idx="8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7-408D-91DA-F4522F560F19}"/>
            </c:ext>
          </c:extLst>
        </c:ser>
        <c:ser>
          <c:idx val="1"/>
          <c:order val="1"/>
          <c:tx>
            <c:strRef>
              <c:f>BC_CP!$D$1</c:f>
              <c:strCache>
                <c:ptCount val="1"/>
                <c:pt idx="0">
                  <c:v>Real</c:v>
                </c:pt>
              </c:strCache>
            </c:strRef>
          </c:tx>
          <c:spPr>
            <a:ln w="22225" cap="rnd" cmpd="sng" algn="ctr">
              <a:solidFill>
                <a:srgbClr val="404040">
                  <a:lumMod val="50000"/>
                </a:srgb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BC_CP!$D$2:$D$10</c:f>
              <c:numCache>
                <c:formatCode>General</c:formatCode>
                <c:ptCount val="9"/>
                <c:pt idx="0">
                  <c:v>1049</c:v>
                </c:pt>
                <c:pt idx="1">
                  <c:v>983</c:v>
                </c:pt>
                <c:pt idx="2">
                  <c:v>933</c:v>
                </c:pt>
                <c:pt idx="3">
                  <c:v>904</c:v>
                </c:pt>
                <c:pt idx="4">
                  <c:v>874</c:v>
                </c:pt>
                <c:pt idx="5">
                  <c:v>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17-408D-91DA-F4522F560F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7214208"/>
        <c:axId val="137210368"/>
      </c:lineChart>
      <c:catAx>
        <c:axId val="13721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210368"/>
        <c:crosses val="autoZero"/>
        <c:auto val="1"/>
        <c:lblAlgn val="ctr"/>
        <c:lblOffset val="100"/>
        <c:noMultiLvlLbl val="0"/>
      </c:catAx>
      <c:valAx>
        <c:axId val="137210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2142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57150</xdr:rowOff>
    </xdr:from>
    <xdr:to>
      <xdr:col>13</xdr:col>
      <xdr:colOff>120650</xdr:colOff>
      <xdr:row>14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AF7142-C3F1-4BC4-941C-73192E511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57150</xdr:rowOff>
    </xdr:from>
    <xdr:to>
      <xdr:col>13</xdr:col>
      <xdr:colOff>120650</xdr:colOff>
      <xdr:row>14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FBFBB6F-AA37-9C50-3689-C9ABACAEE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953B-C204-476C-8235-8B2C8F5641EC}">
  <dimension ref="A1:F5"/>
  <sheetViews>
    <sheetView workbookViewId="0">
      <selection activeCell="A3" sqref="A3"/>
    </sheetView>
  </sheetViews>
  <sheetFormatPr baseColWidth="10" defaultRowHeight="14.5" x14ac:dyDescent="0.35"/>
  <cols>
    <col min="1" max="1" width="27.36328125" bestFit="1" customWidth="1"/>
    <col min="2" max="2" width="19.36328125" style="1" bestFit="1" customWidth="1"/>
    <col min="3" max="3" width="21.90625" style="1" bestFit="1" customWidth="1"/>
    <col min="4" max="4" width="9.81640625" style="1" bestFit="1" customWidth="1"/>
    <col min="5" max="5" width="18.26953125" style="1" bestFit="1" customWidth="1"/>
    <col min="6" max="6" width="21.08984375" style="1" bestFit="1" customWidth="1"/>
  </cols>
  <sheetData>
    <row r="1" spans="1:6" x14ac:dyDescent="0.35">
      <c r="A1" s="2" t="s">
        <v>0</v>
      </c>
      <c r="B1" s="3" t="s">
        <v>2</v>
      </c>
      <c r="C1" s="3" t="s">
        <v>5</v>
      </c>
      <c r="D1" s="3" t="s">
        <v>6</v>
      </c>
      <c r="E1" s="3" t="s">
        <v>4</v>
      </c>
      <c r="F1" s="3" t="s">
        <v>3</v>
      </c>
    </row>
    <row r="2" spans="1:6" x14ac:dyDescent="0.35">
      <c r="A2" s="7" t="s">
        <v>1</v>
      </c>
      <c r="B2" s="8">
        <v>328</v>
      </c>
      <c r="C2" s="5">
        <v>186</v>
      </c>
      <c r="D2" s="6">
        <f>(C2*100)/B2</f>
        <v>56.707317073170735</v>
      </c>
      <c r="E2" s="5">
        <v>1049</v>
      </c>
      <c r="F2" s="5" t="s">
        <v>46</v>
      </c>
    </row>
    <row r="3" spans="1:6" x14ac:dyDescent="0.35">
      <c r="A3" s="7" t="s">
        <v>7</v>
      </c>
      <c r="B3" s="8">
        <v>46</v>
      </c>
      <c r="C3" s="5">
        <v>7</v>
      </c>
      <c r="D3" s="6">
        <f>(C3*100)/B3</f>
        <v>15.217391304347826</v>
      </c>
      <c r="E3" s="5">
        <v>18</v>
      </c>
      <c r="F3" s="5" t="s">
        <v>9</v>
      </c>
    </row>
    <row r="4" spans="1:6" x14ac:dyDescent="0.35">
      <c r="A4" s="7" t="s">
        <v>8</v>
      </c>
      <c r="B4" s="8">
        <v>82</v>
      </c>
      <c r="C4" s="5">
        <v>6</v>
      </c>
      <c r="D4" s="6">
        <f t="shared" ref="D4:D5" si="0">(C4*100)/B4</f>
        <v>7.3170731707317076</v>
      </c>
      <c r="E4" s="5">
        <v>154</v>
      </c>
      <c r="F4" s="5" t="s">
        <v>9</v>
      </c>
    </row>
    <row r="5" spans="1:6" x14ac:dyDescent="0.35">
      <c r="A5" s="7" t="s">
        <v>47</v>
      </c>
      <c r="B5" s="8">
        <v>37</v>
      </c>
      <c r="C5" s="5">
        <v>8</v>
      </c>
      <c r="D5" s="6">
        <f t="shared" si="0"/>
        <v>21.621621621621621</v>
      </c>
      <c r="E5" s="5">
        <v>47</v>
      </c>
      <c r="F5" s="5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1849-A1A9-4E05-97A1-E2B79B421503}">
  <dimension ref="A1:F20"/>
  <sheetViews>
    <sheetView tabSelected="1" topLeftCell="A7" workbookViewId="0">
      <selection activeCell="D20" sqref="D20"/>
    </sheetView>
  </sheetViews>
  <sheetFormatPr baseColWidth="10" defaultRowHeight="14.5" x14ac:dyDescent="0.35"/>
  <cols>
    <col min="1" max="1" width="7.36328125" bestFit="1" customWidth="1"/>
    <col min="2" max="2" width="25.453125" bestFit="1" customWidth="1"/>
    <col min="3" max="3" width="10" style="1" bestFit="1" customWidth="1"/>
    <col min="4" max="4" width="9.36328125" style="1" customWidth="1"/>
    <col min="5" max="5" width="18" style="1" bestFit="1" customWidth="1"/>
    <col min="6" max="6" width="12.26953125" style="1" bestFit="1" customWidth="1"/>
  </cols>
  <sheetData>
    <row r="1" spans="1:6" x14ac:dyDescent="0.35">
      <c r="A1" s="2" t="s">
        <v>10</v>
      </c>
      <c r="B1" s="2" t="s">
        <v>0</v>
      </c>
      <c r="C1" s="3" t="s">
        <v>11</v>
      </c>
      <c r="D1" s="3" t="s">
        <v>12</v>
      </c>
      <c r="E1" s="3" t="s">
        <v>14</v>
      </c>
      <c r="F1" s="3" t="s">
        <v>15</v>
      </c>
    </row>
    <row r="2" spans="1:6" x14ac:dyDescent="0.35">
      <c r="A2" s="9">
        <v>0</v>
      </c>
      <c r="B2" s="9" t="s">
        <v>1</v>
      </c>
      <c r="C2" s="10">
        <v>202</v>
      </c>
      <c r="D2" s="10">
        <v>202</v>
      </c>
      <c r="E2" s="10">
        <v>23</v>
      </c>
      <c r="F2" s="10">
        <v>0</v>
      </c>
    </row>
    <row r="3" spans="1:6" x14ac:dyDescent="0.35">
      <c r="A3" s="4">
        <v>1</v>
      </c>
      <c r="B3" s="4" t="s">
        <v>1</v>
      </c>
      <c r="C3" s="5">
        <f>C2-$E$2</f>
        <v>179</v>
      </c>
      <c r="D3" s="5">
        <f>D2-F3</f>
        <v>164</v>
      </c>
      <c r="E3" s="5">
        <v>23</v>
      </c>
      <c r="F3" s="5">
        <v>38</v>
      </c>
    </row>
    <row r="4" spans="1:6" x14ac:dyDescent="0.35">
      <c r="A4" s="4">
        <v>2</v>
      </c>
      <c r="B4" s="4" t="s">
        <v>1</v>
      </c>
      <c r="C4" s="5">
        <f>C3-$E$2</f>
        <v>156</v>
      </c>
      <c r="D4" s="5">
        <f>D3-F4</f>
        <v>144</v>
      </c>
      <c r="E4" s="5">
        <v>23</v>
      </c>
      <c r="F4" s="5">
        <v>20</v>
      </c>
    </row>
    <row r="5" spans="1:6" x14ac:dyDescent="0.35">
      <c r="A5" s="4">
        <v>3</v>
      </c>
      <c r="B5" s="4" t="s">
        <v>1</v>
      </c>
      <c r="C5" s="5">
        <f>C4-20</f>
        <v>136</v>
      </c>
      <c r="D5" s="5">
        <f>D4-F5</f>
        <v>129</v>
      </c>
      <c r="E5" s="5">
        <v>20</v>
      </c>
      <c r="F5" s="5">
        <v>15</v>
      </c>
    </row>
    <row r="6" spans="1:6" x14ac:dyDescent="0.35">
      <c r="A6" s="4">
        <v>4</v>
      </c>
      <c r="B6" s="4" t="s">
        <v>1</v>
      </c>
      <c r="C6" s="5">
        <f>C5-20</f>
        <v>116</v>
      </c>
      <c r="D6" s="5">
        <f>D5-F6</f>
        <v>116</v>
      </c>
      <c r="E6" s="5">
        <v>20</v>
      </c>
      <c r="F6" s="5">
        <v>13</v>
      </c>
    </row>
    <row r="7" spans="1:6" x14ac:dyDescent="0.35">
      <c r="A7" s="4">
        <v>5</v>
      </c>
      <c r="B7" s="4" t="s">
        <v>1</v>
      </c>
      <c r="C7" s="5">
        <f>C6-$E$2</f>
        <v>93</v>
      </c>
      <c r="D7" s="5">
        <f>D6-F7</f>
        <v>80</v>
      </c>
      <c r="E7" s="5">
        <v>20</v>
      </c>
      <c r="F7" s="5">
        <v>36</v>
      </c>
    </row>
    <row r="8" spans="1:6" x14ac:dyDescent="0.35">
      <c r="A8" s="4">
        <v>6</v>
      </c>
      <c r="B8" s="4" t="s">
        <v>1</v>
      </c>
      <c r="C8" s="5">
        <f>C7-20-16</f>
        <v>57</v>
      </c>
      <c r="D8" s="5">
        <f>D7-F8-16</f>
        <v>49</v>
      </c>
      <c r="E8" s="5">
        <v>20</v>
      </c>
      <c r="F8" s="5">
        <v>15</v>
      </c>
    </row>
    <row r="9" spans="1:6" x14ac:dyDescent="0.35">
      <c r="A9" s="4">
        <v>7</v>
      </c>
      <c r="B9" s="4" t="s">
        <v>1</v>
      </c>
      <c r="C9" s="5">
        <f t="shared" ref="C9:C11" si="0">C8-$E$2</f>
        <v>34</v>
      </c>
      <c r="D9" s="5"/>
      <c r="E9" s="5">
        <v>20</v>
      </c>
      <c r="F9" s="5"/>
    </row>
    <row r="10" spans="1:6" x14ac:dyDescent="0.35">
      <c r="A10" s="4">
        <v>8</v>
      </c>
      <c r="B10" s="4" t="s">
        <v>1</v>
      </c>
      <c r="C10" s="5">
        <f t="shared" si="0"/>
        <v>11</v>
      </c>
      <c r="D10" s="5"/>
      <c r="E10" s="5">
        <v>20</v>
      </c>
      <c r="F10" s="5"/>
    </row>
    <row r="11" spans="1:6" x14ac:dyDescent="0.35">
      <c r="A11" s="4">
        <v>9</v>
      </c>
      <c r="B11" s="4" t="s">
        <v>1</v>
      </c>
      <c r="C11" s="5">
        <f t="shared" si="0"/>
        <v>-12</v>
      </c>
      <c r="D11" s="5"/>
      <c r="E11" s="5">
        <v>17</v>
      </c>
      <c r="F11" s="5"/>
    </row>
    <row r="12" spans="1:6" x14ac:dyDescent="0.35">
      <c r="A12" s="4">
        <v>0</v>
      </c>
      <c r="B12" s="4" t="s">
        <v>47</v>
      </c>
      <c r="C12" s="5">
        <v>8</v>
      </c>
      <c r="D12" s="5">
        <v>8</v>
      </c>
      <c r="E12" s="5">
        <v>4</v>
      </c>
      <c r="F12" s="5">
        <v>0</v>
      </c>
    </row>
    <row r="13" spans="1:6" x14ac:dyDescent="0.35">
      <c r="A13" s="4">
        <v>1</v>
      </c>
      <c r="B13" s="4" t="s">
        <v>47</v>
      </c>
      <c r="C13" s="5">
        <v>4</v>
      </c>
      <c r="D13" s="5">
        <f>D12-F13</f>
        <v>2</v>
      </c>
      <c r="E13" s="5">
        <v>4</v>
      </c>
      <c r="F13" s="5">
        <v>6</v>
      </c>
    </row>
    <row r="14" spans="1:6" x14ac:dyDescent="0.35">
      <c r="A14" s="4">
        <v>2</v>
      </c>
      <c r="B14" s="4" t="s">
        <v>47</v>
      </c>
      <c r="C14" s="5">
        <v>4</v>
      </c>
      <c r="D14" s="5"/>
      <c r="E14" s="5">
        <v>4</v>
      </c>
      <c r="F14" s="5"/>
    </row>
    <row r="15" spans="1:6" x14ac:dyDescent="0.35">
      <c r="A15" s="4">
        <v>0</v>
      </c>
      <c r="B15" s="4" t="s">
        <v>8</v>
      </c>
      <c r="C15" s="5">
        <v>6</v>
      </c>
      <c r="D15" s="5">
        <v>6</v>
      </c>
      <c r="E15" s="5">
        <v>3</v>
      </c>
      <c r="F15" s="5">
        <v>0</v>
      </c>
    </row>
    <row r="16" spans="1:6" x14ac:dyDescent="0.35">
      <c r="A16" s="4">
        <v>1</v>
      </c>
      <c r="B16" s="4" t="s">
        <v>8</v>
      </c>
      <c r="C16" s="5">
        <v>3</v>
      </c>
      <c r="D16" s="5">
        <v>1</v>
      </c>
      <c r="E16" s="5">
        <v>3</v>
      </c>
      <c r="F16" s="5">
        <v>5</v>
      </c>
    </row>
    <row r="17" spans="1:6" x14ac:dyDescent="0.35">
      <c r="A17" s="4">
        <v>2</v>
      </c>
      <c r="B17" s="4" t="s">
        <v>8</v>
      </c>
      <c r="C17" s="5">
        <v>3</v>
      </c>
      <c r="D17" s="5"/>
      <c r="E17" s="5">
        <v>3</v>
      </c>
      <c r="F17" s="5"/>
    </row>
    <row r="18" spans="1:6" x14ac:dyDescent="0.35">
      <c r="A18" s="4">
        <v>0</v>
      </c>
      <c r="B18" s="7" t="s">
        <v>7</v>
      </c>
      <c r="C18" s="5">
        <v>7</v>
      </c>
      <c r="D18" s="5">
        <v>7</v>
      </c>
      <c r="E18" s="5">
        <v>3</v>
      </c>
      <c r="F18" s="5">
        <v>0</v>
      </c>
    </row>
    <row r="19" spans="1:6" x14ac:dyDescent="0.35">
      <c r="A19" s="4">
        <v>1</v>
      </c>
      <c r="B19" s="7" t="s">
        <v>7</v>
      </c>
      <c r="C19" s="5">
        <v>4</v>
      </c>
      <c r="D19" s="5">
        <v>0</v>
      </c>
      <c r="E19" s="5">
        <v>3</v>
      </c>
      <c r="F19" s="5">
        <v>7</v>
      </c>
    </row>
    <row r="20" spans="1:6" x14ac:dyDescent="0.35">
      <c r="A20" s="4">
        <v>2</v>
      </c>
      <c r="B20" s="7" t="s">
        <v>7</v>
      </c>
      <c r="C20" s="5">
        <v>3</v>
      </c>
      <c r="D20" s="5"/>
      <c r="E20" s="5">
        <v>3</v>
      </c>
      <c r="F20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B52B-56FF-4E38-A246-A8F336FD8B79}">
  <dimension ref="A1:F14"/>
  <sheetViews>
    <sheetView workbookViewId="0">
      <selection activeCell="F8" sqref="F8"/>
    </sheetView>
  </sheetViews>
  <sheetFormatPr baseColWidth="10" defaultRowHeight="14.5" x14ac:dyDescent="0.35"/>
  <cols>
    <col min="1" max="1" width="7.36328125" bestFit="1" customWidth="1"/>
    <col min="2" max="2" width="25.453125" bestFit="1" customWidth="1"/>
    <col min="3" max="3" width="10" style="1" bestFit="1" customWidth="1"/>
    <col min="4" max="4" width="9.36328125" style="1" customWidth="1"/>
    <col min="5" max="5" width="18" style="1" bestFit="1" customWidth="1"/>
    <col min="6" max="6" width="9.54296875" style="1" bestFit="1" customWidth="1"/>
  </cols>
  <sheetData>
    <row r="1" spans="1:6" x14ac:dyDescent="0.35">
      <c r="A1" s="2" t="s">
        <v>10</v>
      </c>
      <c r="B1" s="2" t="s">
        <v>0</v>
      </c>
      <c r="C1" s="3" t="s">
        <v>11</v>
      </c>
      <c r="D1" s="3" t="s">
        <v>12</v>
      </c>
      <c r="E1" s="3" t="s">
        <v>14</v>
      </c>
      <c r="F1" s="3" t="s">
        <v>13</v>
      </c>
    </row>
    <row r="2" spans="1:6" x14ac:dyDescent="0.35">
      <c r="A2" s="9">
        <v>0</v>
      </c>
      <c r="B2" s="9" t="s">
        <v>1</v>
      </c>
      <c r="C2" s="10">
        <v>1049</v>
      </c>
      <c r="D2" s="10">
        <v>1049</v>
      </c>
      <c r="E2" s="10">
        <v>116</v>
      </c>
      <c r="F2" s="10">
        <v>0</v>
      </c>
    </row>
    <row r="3" spans="1:6" x14ac:dyDescent="0.35">
      <c r="A3" s="4">
        <v>1</v>
      </c>
      <c r="B3" s="4" t="s">
        <v>1</v>
      </c>
      <c r="C3" s="5">
        <f>C2-$E$2</f>
        <v>933</v>
      </c>
      <c r="D3" s="5">
        <f>D2-F3</f>
        <v>983</v>
      </c>
      <c r="E3" s="5">
        <v>116</v>
      </c>
      <c r="F3" s="5">
        <v>66</v>
      </c>
    </row>
    <row r="4" spans="1:6" x14ac:dyDescent="0.35">
      <c r="A4" s="4">
        <v>2</v>
      </c>
      <c r="B4" s="4" t="s">
        <v>1</v>
      </c>
      <c r="C4" s="5">
        <f t="shared" ref="C4:C11" si="0">C3-$E$2</f>
        <v>817</v>
      </c>
      <c r="D4" s="5">
        <f>D3-F4</f>
        <v>933</v>
      </c>
      <c r="E4" s="5">
        <v>116</v>
      </c>
      <c r="F4" s="5">
        <v>50</v>
      </c>
    </row>
    <row r="5" spans="1:6" x14ac:dyDescent="0.35">
      <c r="A5" s="4">
        <v>3</v>
      </c>
      <c r="B5" s="4" t="s">
        <v>1</v>
      </c>
      <c r="C5" s="5">
        <f t="shared" si="0"/>
        <v>701</v>
      </c>
      <c r="D5" s="5">
        <f>D4-F5</f>
        <v>904</v>
      </c>
      <c r="E5" s="5">
        <v>116</v>
      </c>
      <c r="F5" s="5">
        <v>29</v>
      </c>
    </row>
    <row r="6" spans="1:6" x14ac:dyDescent="0.35">
      <c r="A6" s="4">
        <v>4</v>
      </c>
      <c r="B6" s="4" t="s">
        <v>1</v>
      </c>
      <c r="C6" s="5">
        <f t="shared" si="0"/>
        <v>585</v>
      </c>
      <c r="D6" s="5">
        <f>D5-F6</f>
        <v>874</v>
      </c>
      <c r="E6" s="5">
        <v>116</v>
      </c>
      <c r="F6" s="5">
        <v>30</v>
      </c>
    </row>
    <row r="7" spans="1:6" x14ac:dyDescent="0.35">
      <c r="A7" s="4">
        <v>5</v>
      </c>
      <c r="B7" s="4" t="s">
        <v>1</v>
      </c>
      <c r="C7" s="5">
        <f t="shared" si="0"/>
        <v>469</v>
      </c>
      <c r="D7" s="5">
        <f>D6-F7</f>
        <v>829</v>
      </c>
      <c r="E7" s="5">
        <v>116</v>
      </c>
      <c r="F7" s="5">
        <v>45</v>
      </c>
    </row>
    <row r="8" spans="1:6" x14ac:dyDescent="0.35">
      <c r="A8" s="4">
        <v>6</v>
      </c>
      <c r="B8" s="4" t="s">
        <v>1</v>
      </c>
      <c r="C8" s="5">
        <f t="shared" si="0"/>
        <v>353</v>
      </c>
      <c r="D8" s="5"/>
      <c r="E8" s="5">
        <v>116</v>
      </c>
      <c r="F8" s="5"/>
    </row>
    <row r="9" spans="1:6" x14ac:dyDescent="0.35">
      <c r="A9" s="4">
        <v>7</v>
      </c>
      <c r="B9" s="4" t="s">
        <v>1</v>
      </c>
      <c r="C9" s="5">
        <f t="shared" si="0"/>
        <v>237</v>
      </c>
      <c r="D9" s="5"/>
      <c r="E9" s="5">
        <v>116</v>
      </c>
      <c r="F9" s="5"/>
    </row>
    <row r="10" spans="1:6" x14ac:dyDescent="0.35">
      <c r="A10" s="4">
        <v>8</v>
      </c>
      <c r="B10" s="4" t="s">
        <v>1</v>
      </c>
      <c r="C10" s="5">
        <f t="shared" si="0"/>
        <v>121</v>
      </c>
      <c r="D10" s="5"/>
      <c r="E10" s="5">
        <v>116</v>
      </c>
      <c r="F10" s="5"/>
    </row>
    <row r="11" spans="1:6" x14ac:dyDescent="0.35">
      <c r="A11" s="4">
        <v>9</v>
      </c>
      <c r="B11" s="4" t="s">
        <v>1</v>
      </c>
      <c r="C11" s="5">
        <f t="shared" si="0"/>
        <v>5</v>
      </c>
      <c r="D11" s="5"/>
      <c r="E11" s="5">
        <v>121</v>
      </c>
      <c r="F11" s="5"/>
    </row>
    <row r="12" spans="1:6" x14ac:dyDescent="0.35">
      <c r="A12" s="4">
        <v>0</v>
      </c>
      <c r="B12" s="4" t="s">
        <v>47</v>
      </c>
      <c r="C12" s="5">
        <v>47</v>
      </c>
      <c r="D12" s="5">
        <v>47</v>
      </c>
      <c r="E12" s="5">
        <v>32</v>
      </c>
      <c r="F12" s="5">
        <v>0</v>
      </c>
    </row>
    <row r="13" spans="1:6" x14ac:dyDescent="0.35">
      <c r="A13" s="4">
        <v>1</v>
      </c>
      <c r="B13" s="4" t="s">
        <v>47</v>
      </c>
      <c r="C13" s="5">
        <v>23</v>
      </c>
      <c r="D13" s="5">
        <f>D12-F13</f>
        <v>11</v>
      </c>
      <c r="E13" s="5">
        <v>32</v>
      </c>
      <c r="F13" s="5">
        <v>36</v>
      </c>
    </row>
    <row r="14" spans="1:6" x14ac:dyDescent="0.35">
      <c r="A14" s="4">
        <v>2</v>
      </c>
      <c r="B14" s="4" t="s">
        <v>47</v>
      </c>
      <c r="C14" s="5">
        <v>24</v>
      </c>
      <c r="D14" s="5"/>
      <c r="E14" s="5">
        <v>15</v>
      </c>
      <c r="F14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EDFD-2DED-4B82-BC46-A3A7E7C548CD}">
  <dimension ref="A1:J29"/>
  <sheetViews>
    <sheetView topLeftCell="A15" workbookViewId="0">
      <selection activeCell="H26" sqref="H26"/>
    </sheetView>
  </sheetViews>
  <sheetFormatPr baseColWidth="10" defaultRowHeight="14.5" x14ac:dyDescent="0.35"/>
  <cols>
    <col min="1" max="1" width="25.453125" bestFit="1" customWidth="1"/>
    <col min="2" max="2" width="29.1796875" bestFit="1" customWidth="1"/>
    <col min="3" max="10" width="10.90625" style="1"/>
  </cols>
  <sheetData>
    <row r="1" spans="1:10" x14ac:dyDescent="0.35">
      <c r="A1" s="11" t="s">
        <v>0</v>
      </c>
      <c r="B1" s="12" t="s">
        <v>16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  <c r="I1" s="13" t="s">
        <v>26</v>
      </c>
      <c r="J1" s="14" t="s">
        <v>27</v>
      </c>
    </row>
    <row r="2" spans="1:10" x14ac:dyDescent="0.35">
      <c r="A2" s="15" t="s">
        <v>1</v>
      </c>
      <c r="B2" s="16" t="s">
        <v>50</v>
      </c>
      <c r="C2" s="1">
        <v>27</v>
      </c>
      <c r="D2" s="1">
        <v>51</v>
      </c>
      <c r="E2" s="1">
        <v>67</v>
      </c>
      <c r="F2" s="1">
        <v>79</v>
      </c>
      <c r="G2" s="1">
        <v>12</v>
      </c>
      <c r="H2" s="1">
        <v>15</v>
      </c>
      <c r="J2" s="17"/>
    </row>
    <row r="3" spans="1:10" x14ac:dyDescent="0.35">
      <c r="A3" s="15" t="s">
        <v>1</v>
      </c>
      <c r="B3" s="16" t="s">
        <v>51</v>
      </c>
      <c r="C3" s="1">
        <v>0</v>
      </c>
      <c r="D3" s="1">
        <v>0</v>
      </c>
      <c r="E3" s="1">
        <v>0</v>
      </c>
      <c r="F3" s="1">
        <v>0</v>
      </c>
      <c r="G3" s="1">
        <v>81</v>
      </c>
      <c r="H3" s="1">
        <v>86</v>
      </c>
      <c r="J3" s="17"/>
    </row>
    <row r="4" spans="1:10" x14ac:dyDescent="0.35">
      <c r="A4" s="15" t="s">
        <v>1</v>
      </c>
      <c r="B4" s="16" t="s">
        <v>17</v>
      </c>
      <c r="C4" s="1">
        <v>19</v>
      </c>
      <c r="D4" s="1">
        <v>19</v>
      </c>
      <c r="E4" s="1">
        <v>30</v>
      </c>
      <c r="F4" s="1">
        <v>0</v>
      </c>
      <c r="G4" s="1">
        <v>13</v>
      </c>
      <c r="H4" s="1">
        <v>54</v>
      </c>
      <c r="J4" s="17"/>
    </row>
    <row r="5" spans="1:10" x14ac:dyDescent="0.35">
      <c r="A5" s="15" t="s">
        <v>1</v>
      </c>
      <c r="B5" s="16" t="s">
        <v>45</v>
      </c>
      <c r="C5" s="1">
        <v>16</v>
      </c>
      <c r="D5" s="1">
        <v>29</v>
      </c>
      <c r="E5" s="1">
        <v>39</v>
      </c>
      <c r="F5" s="1">
        <v>45</v>
      </c>
      <c r="G5" s="1">
        <v>45</v>
      </c>
      <c r="H5" s="1">
        <v>45</v>
      </c>
      <c r="J5" s="17"/>
    </row>
    <row r="6" spans="1:10" x14ac:dyDescent="0.35">
      <c r="A6" s="15" t="s">
        <v>1</v>
      </c>
      <c r="B6" s="16" t="s">
        <v>42</v>
      </c>
      <c r="C6" s="1">
        <v>11</v>
      </c>
      <c r="D6" s="1">
        <v>43</v>
      </c>
      <c r="E6" s="1">
        <v>51</v>
      </c>
      <c r="F6" s="1">
        <v>93</v>
      </c>
      <c r="G6" s="1">
        <v>85</v>
      </c>
      <c r="H6" s="1">
        <v>90</v>
      </c>
      <c r="J6" s="17"/>
    </row>
    <row r="7" spans="1:10" x14ac:dyDescent="0.35">
      <c r="A7" s="15" t="s">
        <v>1</v>
      </c>
      <c r="B7" s="16" t="s">
        <v>43</v>
      </c>
      <c r="C7" s="1">
        <v>13</v>
      </c>
      <c r="D7" s="1">
        <v>15</v>
      </c>
      <c r="E7" s="1">
        <v>21</v>
      </c>
      <c r="F7" s="1">
        <v>21</v>
      </c>
      <c r="G7" s="1">
        <v>0</v>
      </c>
      <c r="H7" s="1">
        <v>0</v>
      </c>
      <c r="J7" s="17"/>
    </row>
    <row r="8" spans="1:10" x14ac:dyDescent="0.35">
      <c r="A8" s="15" t="s">
        <v>1</v>
      </c>
      <c r="B8" s="16" t="s">
        <v>44</v>
      </c>
      <c r="C8" s="1">
        <v>5</v>
      </c>
      <c r="D8" s="1">
        <v>21</v>
      </c>
      <c r="E8" s="1">
        <v>24</v>
      </c>
      <c r="F8" s="1">
        <v>8</v>
      </c>
      <c r="G8" s="1">
        <v>0</v>
      </c>
      <c r="H8" s="1">
        <v>0</v>
      </c>
      <c r="J8" s="17"/>
    </row>
    <row r="9" spans="1:10" x14ac:dyDescent="0.35">
      <c r="A9" s="15" t="s">
        <v>1</v>
      </c>
      <c r="B9" s="16" t="s">
        <v>18</v>
      </c>
      <c r="C9" s="1">
        <v>25</v>
      </c>
      <c r="D9" s="1">
        <v>35</v>
      </c>
      <c r="E9" s="1">
        <v>41</v>
      </c>
      <c r="F9" s="1">
        <v>75</v>
      </c>
      <c r="G9" s="1">
        <v>101</v>
      </c>
      <c r="H9" s="1">
        <v>109</v>
      </c>
      <c r="J9" s="17"/>
    </row>
    <row r="10" spans="1:10" x14ac:dyDescent="0.35">
      <c r="A10" s="15" t="s">
        <v>1</v>
      </c>
      <c r="B10" s="18" t="s">
        <v>19</v>
      </c>
      <c r="C10" s="19">
        <f t="shared" ref="C10:H10" si="0">SUM(C2:C9)</f>
        <v>116</v>
      </c>
      <c r="D10" s="19">
        <f t="shared" si="0"/>
        <v>213</v>
      </c>
      <c r="E10" s="19">
        <f t="shared" si="0"/>
        <v>273</v>
      </c>
      <c r="F10" s="19">
        <f t="shared" si="0"/>
        <v>321</v>
      </c>
      <c r="G10" s="19">
        <f t="shared" si="0"/>
        <v>337</v>
      </c>
      <c r="H10" s="19">
        <f t="shared" si="0"/>
        <v>399</v>
      </c>
      <c r="I10" s="19">
        <f>SUM(I4:I9)</f>
        <v>0</v>
      </c>
      <c r="J10" s="20">
        <f>SUM(J4:J9)</f>
        <v>0</v>
      </c>
    </row>
    <row r="11" spans="1:10" x14ac:dyDescent="0.35">
      <c r="A11" s="15" t="s">
        <v>1</v>
      </c>
      <c r="B11" s="18" t="s">
        <v>35</v>
      </c>
      <c r="C11" s="19">
        <f t="shared" ref="C11:H11" si="1">SUM(C2:C9)-C9</f>
        <v>91</v>
      </c>
      <c r="D11" s="19">
        <f t="shared" si="1"/>
        <v>178</v>
      </c>
      <c r="E11" s="19">
        <f t="shared" si="1"/>
        <v>232</v>
      </c>
      <c r="F11" s="19">
        <f t="shared" si="1"/>
        <v>246</v>
      </c>
      <c r="G11" s="19">
        <f t="shared" si="1"/>
        <v>236</v>
      </c>
      <c r="H11" s="19">
        <f t="shared" si="1"/>
        <v>290</v>
      </c>
      <c r="I11" s="19">
        <f>SUM(I4:I9)-I9</f>
        <v>0</v>
      </c>
      <c r="J11" s="20">
        <f>SUM(J4:J9)-J9</f>
        <v>0</v>
      </c>
    </row>
    <row r="12" spans="1:10" ht="15" thickBot="1" x14ac:dyDescent="0.4"/>
    <row r="13" spans="1:10" x14ac:dyDescent="0.35">
      <c r="A13" s="11" t="s">
        <v>0</v>
      </c>
      <c r="B13" s="12" t="s">
        <v>28</v>
      </c>
      <c r="C13" s="13" t="s">
        <v>20</v>
      </c>
      <c r="D13" s="13" t="s">
        <v>21</v>
      </c>
      <c r="E13" s="13" t="s">
        <v>22</v>
      </c>
      <c r="F13" s="13" t="s">
        <v>23</v>
      </c>
      <c r="G13" s="13" t="s">
        <v>24</v>
      </c>
      <c r="H13" s="13" t="s">
        <v>25</v>
      </c>
      <c r="I13" s="13" t="s">
        <v>26</v>
      </c>
      <c r="J13" s="14" t="s">
        <v>27</v>
      </c>
    </row>
    <row r="14" spans="1:10" x14ac:dyDescent="0.35">
      <c r="A14" s="15" t="s">
        <v>1</v>
      </c>
      <c r="B14" s="16" t="s">
        <v>29</v>
      </c>
      <c r="C14" s="1">
        <v>38</v>
      </c>
      <c r="D14" s="1">
        <v>38</v>
      </c>
      <c r="E14" s="1">
        <v>41</v>
      </c>
      <c r="F14" s="1">
        <v>48</v>
      </c>
      <c r="G14" s="1">
        <v>49</v>
      </c>
      <c r="H14" s="1">
        <v>48</v>
      </c>
      <c r="J14" s="17"/>
    </row>
    <row r="15" spans="1:10" x14ac:dyDescent="0.35">
      <c r="A15" s="15" t="s">
        <v>1</v>
      </c>
      <c r="B15" s="16" t="s">
        <v>30</v>
      </c>
      <c r="C15" s="1">
        <v>6</v>
      </c>
      <c r="D15" s="1">
        <v>6</v>
      </c>
      <c r="E15" s="1">
        <v>6</v>
      </c>
      <c r="F15" s="1">
        <v>9</v>
      </c>
      <c r="G15" s="1">
        <v>9</v>
      </c>
      <c r="H15" s="1">
        <v>9</v>
      </c>
      <c r="J15" s="17"/>
    </row>
    <row r="16" spans="1:10" x14ac:dyDescent="0.35">
      <c r="A16" s="15" t="s">
        <v>1</v>
      </c>
      <c r="B16" s="16" t="s">
        <v>31</v>
      </c>
      <c r="C16" s="1">
        <v>15</v>
      </c>
      <c r="D16" s="1">
        <v>19</v>
      </c>
      <c r="E16" s="1">
        <v>19</v>
      </c>
      <c r="F16" s="1">
        <v>25</v>
      </c>
      <c r="G16" s="1">
        <v>23</v>
      </c>
      <c r="H16" s="1">
        <v>20</v>
      </c>
      <c r="J16" s="17"/>
    </row>
    <row r="17" spans="1:10" x14ac:dyDescent="0.35">
      <c r="A17" s="15" t="s">
        <v>1</v>
      </c>
      <c r="B17" s="16" t="s">
        <v>39</v>
      </c>
      <c r="C17" s="1">
        <v>11</v>
      </c>
      <c r="D17" s="1">
        <v>11</v>
      </c>
      <c r="E17" s="1">
        <v>11</v>
      </c>
      <c r="F17" s="1">
        <v>14</v>
      </c>
      <c r="G17" s="1">
        <v>14</v>
      </c>
      <c r="H17" s="1">
        <v>13</v>
      </c>
      <c r="J17" s="17"/>
    </row>
    <row r="18" spans="1:10" x14ac:dyDescent="0.35">
      <c r="A18" s="15" t="s">
        <v>1</v>
      </c>
      <c r="B18" s="16" t="s">
        <v>32</v>
      </c>
      <c r="C18" s="1">
        <v>5</v>
      </c>
      <c r="D18" s="1">
        <v>9</v>
      </c>
      <c r="E18" s="1">
        <v>9</v>
      </c>
      <c r="F18" s="1">
        <v>8</v>
      </c>
      <c r="G18" s="1">
        <v>8</v>
      </c>
      <c r="H18" s="1">
        <v>10</v>
      </c>
      <c r="J18" s="17"/>
    </row>
    <row r="19" spans="1:10" x14ac:dyDescent="0.35">
      <c r="A19" s="15" t="s">
        <v>1</v>
      </c>
      <c r="B19" s="16" t="s">
        <v>33</v>
      </c>
      <c r="C19" s="1">
        <v>8</v>
      </c>
      <c r="D19" s="1">
        <v>25</v>
      </c>
      <c r="E19" s="1">
        <v>26</v>
      </c>
      <c r="F19" s="1">
        <v>37</v>
      </c>
      <c r="G19" s="1">
        <v>34</v>
      </c>
      <c r="H19" s="1">
        <v>34</v>
      </c>
      <c r="J19" s="17"/>
    </row>
    <row r="20" spans="1:10" x14ac:dyDescent="0.35">
      <c r="A20" s="15" t="s">
        <v>1</v>
      </c>
      <c r="B20" s="16" t="s">
        <v>34</v>
      </c>
      <c r="C20" s="1">
        <v>1</v>
      </c>
      <c r="D20" s="1">
        <v>2</v>
      </c>
      <c r="E20" s="1">
        <v>2</v>
      </c>
      <c r="F20" s="1">
        <v>2</v>
      </c>
      <c r="G20" s="1">
        <v>2</v>
      </c>
      <c r="H20" s="1">
        <v>2</v>
      </c>
      <c r="J20" s="17"/>
    </row>
    <row r="21" spans="1:10" x14ac:dyDescent="0.35">
      <c r="A21" s="15" t="s">
        <v>1</v>
      </c>
      <c r="B21" s="16" t="s">
        <v>36</v>
      </c>
      <c r="C21" s="1">
        <v>0</v>
      </c>
      <c r="D21" s="1">
        <v>6</v>
      </c>
      <c r="E21" s="1">
        <v>8</v>
      </c>
      <c r="F21" s="1">
        <v>8</v>
      </c>
      <c r="G21" s="1">
        <v>3</v>
      </c>
      <c r="H21" s="1">
        <v>3</v>
      </c>
      <c r="J21" s="17"/>
    </row>
    <row r="22" spans="1:10" x14ac:dyDescent="0.35">
      <c r="A22" s="15" t="s">
        <v>1</v>
      </c>
      <c r="B22" s="16" t="s">
        <v>37</v>
      </c>
      <c r="C22" s="1">
        <v>1</v>
      </c>
      <c r="D22" s="1">
        <v>18</v>
      </c>
      <c r="E22" s="1">
        <v>23</v>
      </c>
      <c r="F22" s="1">
        <v>23</v>
      </c>
      <c r="G22" s="1">
        <v>26</v>
      </c>
      <c r="H22" s="1">
        <v>26</v>
      </c>
      <c r="J22" s="17"/>
    </row>
    <row r="23" spans="1:10" x14ac:dyDescent="0.35">
      <c r="A23" s="15" t="s">
        <v>1</v>
      </c>
      <c r="B23" s="16" t="s">
        <v>38</v>
      </c>
      <c r="C23" s="1">
        <v>0</v>
      </c>
      <c r="D23" s="1">
        <v>19</v>
      </c>
      <c r="E23" s="1">
        <v>19</v>
      </c>
      <c r="F23" s="1">
        <v>25</v>
      </c>
      <c r="G23" s="1">
        <v>21</v>
      </c>
      <c r="H23" s="1">
        <v>21</v>
      </c>
      <c r="J23" s="17"/>
    </row>
    <row r="24" spans="1:10" x14ac:dyDescent="0.35">
      <c r="A24" s="15" t="s">
        <v>1</v>
      </c>
      <c r="B24" s="16" t="s">
        <v>40</v>
      </c>
      <c r="C24" s="1">
        <v>1</v>
      </c>
      <c r="D24" s="1">
        <v>4</v>
      </c>
      <c r="E24" s="1">
        <v>35</v>
      </c>
      <c r="F24" s="1">
        <v>38</v>
      </c>
      <c r="G24" s="1">
        <v>38</v>
      </c>
      <c r="H24" s="1">
        <v>37</v>
      </c>
      <c r="J24" s="17"/>
    </row>
    <row r="25" spans="1:10" x14ac:dyDescent="0.35">
      <c r="A25" s="15" t="s">
        <v>1</v>
      </c>
      <c r="B25" s="16" t="s">
        <v>41</v>
      </c>
      <c r="C25" s="1">
        <v>0</v>
      </c>
      <c r="D25" s="1">
        <v>0</v>
      </c>
      <c r="E25" s="1">
        <v>9</v>
      </c>
      <c r="F25" s="1">
        <v>9</v>
      </c>
      <c r="G25" s="1">
        <v>9</v>
      </c>
      <c r="H25" s="1">
        <v>8</v>
      </c>
      <c r="J25" s="17"/>
    </row>
    <row r="26" spans="1:10" x14ac:dyDescent="0.35">
      <c r="A26" s="15" t="s">
        <v>1</v>
      </c>
      <c r="B26" s="16" t="s">
        <v>44</v>
      </c>
      <c r="C26" s="1">
        <v>5</v>
      </c>
      <c r="D26" s="1">
        <v>21</v>
      </c>
      <c r="E26" s="1">
        <v>24</v>
      </c>
      <c r="F26" s="1">
        <v>0</v>
      </c>
      <c r="G26" s="1">
        <v>0</v>
      </c>
      <c r="H26" s="1">
        <v>0</v>
      </c>
      <c r="J26" s="17"/>
    </row>
    <row r="27" spans="1:10" x14ac:dyDescent="0.35">
      <c r="A27" s="15" t="s">
        <v>1</v>
      </c>
      <c r="B27" s="16" t="s">
        <v>18</v>
      </c>
      <c r="C27" s="1">
        <v>25</v>
      </c>
      <c r="D27" s="1">
        <v>35</v>
      </c>
      <c r="E27" s="1">
        <v>41</v>
      </c>
      <c r="F27" s="1">
        <v>75</v>
      </c>
      <c r="G27" s="1">
        <v>101</v>
      </c>
      <c r="H27" s="1">
        <v>109</v>
      </c>
      <c r="J27" s="17"/>
    </row>
    <row r="28" spans="1:10" x14ac:dyDescent="0.35">
      <c r="A28" s="15" t="s">
        <v>1</v>
      </c>
      <c r="B28" s="18" t="s">
        <v>19</v>
      </c>
      <c r="C28" s="19">
        <f t="shared" ref="C28:J28" si="2">SUM(C14:C27)</f>
        <v>116</v>
      </c>
      <c r="D28" s="19">
        <f t="shared" si="2"/>
        <v>213</v>
      </c>
      <c r="E28" s="19">
        <f t="shared" si="2"/>
        <v>273</v>
      </c>
      <c r="F28" s="19">
        <f t="shared" si="2"/>
        <v>321</v>
      </c>
      <c r="G28" s="19">
        <f t="shared" si="2"/>
        <v>337</v>
      </c>
      <c r="H28" s="19">
        <f>SUM(H14:H27)</f>
        <v>340</v>
      </c>
      <c r="I28" s="19">
        <f t="shared" si="2"/>
        <v>0</v>
      </c>
      <c r="J28" s="20">
        <f t="shared" si="2"/>
        <v>0</v>
      </c>
    </row>
    <row r="29" spans="1:10" ht="15" thickBot="1" x14ac:dyDescent="0.4">
      <c r="A29" s="21" t="s">
        <v>1</v>
      </c>
      <c r="B29" s="22" t="s">
        <v>35</v>
      </c>
      <c r="C29" s="23">
        <f t="shared" ref="C29:J29" si="3">SUM(C14:C27)-C27</f>
        <v>91</v>
      </c>
      <c r="D29" s="23">
        <f t="shared" si="3"/>
        <v>178</v>
      </c>
      <c r="E29" s="23">
        <f t="shared" si="3"/>
        <v>232</v>
      </c>
      <c r="F29" s="23">
        <f t="shared" si="3"/>
        <v>246</v>
      </c>
      <c r="G29" s="23">
        <f t="shared" si="3"/>
        <v>236</v>
      </c>
      <c r="H29" s="23">
        <f t="shared" si="3"/>
        <v>231</v>
      </c>
      <c r="I29" s="23">
        <f t="shared" si="3"/>
        <v>0</v>
      </c>
      <c r="J29" s="24">
        <f t="shared" si="3"/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3DFC-AF79-47E5-9301-280331A46C77}">
  <dimension ref="A1:J12"/>
  <sheetViews>
    <sheetView workbookViewId="0">
      <selection activeCell="H3" sqref="H3"/>
    </sheetView>
  </sheetViews>
  <sheetFormatPr baseColWidth="10" defaultRowHeight="14.5" x14ac:dyDescent="0.35"/>
  <cols>
    <col min="1" max="1" width="25.453125" bestFit="1" customWidth="1"/>
    <col min="2" max="2" width="19.1796875" bestFit="1" customWidth="1"/>
  </cols>
  <sheetData>
    <row r="1" spans="1:10" ht="15" thickBot="1" x14ac:dyDescent="0.4">
      <c r="A1" s="11" t="s">
        <v>0</v>
      </c>
      <c r="B1" s="12" t="s">
        <v>16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  <c r="I1" s="13" t="s">
        <v>26</v>
      </c>
      <c r="J1" s="14" t="s">
        <v>27</v>
      </c>
    </row>
    <row r="2" spans="1:10" x14ac:dyDescent="0.35">
      <c r="A2" s="25" t="s">
        <v>47</v>
      </c>
      <c r="B2" s="26" t="s">
        <v>42</v>
      </c>
      <c r="C2" s="27"/>
      <c r="D2" s="28"/>
      <c r="E2" s="28"/>
      <c r="F2" s="28"/>
      <c r="G2" s="28"/>
      <c r="H2" s="27">
        <v>0</v>
      </c>
      <c r="I2" s="28"/>
      <c r="J2" s="29"/>
    </row>
    <row r="3" spans="1:10" x14ac:dyDescent="0.35">
      <c r="A3" s="15" t="s">
        <v>47</v>
      </c>
      <c r="B3" s="16" t="s">
        <v>18</v>
      </c>
      <c r="C3" s="1"/>
      <c r="H3" s="1">
        <v>3</v>
      </c>
      <c r="J3" s="30"/>
    </row>
    <row r="4" spans="1:10" x14ac:dyDescent="0.35">
      <c r="A4" s="15" t="s">
        <v>47</v>
      </c>
      <c r="B4" s="18" t="s">
        <v>19</v>
      </c>
      <c r="C4" s="18"/>
      <c r="D4" s="18"/>
      <c r="E4" s="18"/>
      <c r="F4" s="18"/>
      <c r="G4" s="18"/>
      <c r="H4" s="19">
        <f>SUM(H2:H3)</f>
        <v>3</v>
      </c>
      <c r="I4" s="18"/>
      <c r="J4" s="31"/>
    </row>
    <row r="5" spans="1:10" ht="15" thickBot="1" x14ac:dyDescent="0.4">
      <c r="A5" s="21" t="s">
        <v>47</v>
      </c>
      <c r="B5" s="22" t="s">
        <v>35</v>
      </c>
      <c r="C5" s="22"/>
      <c r="D5" s="22"/>
      <c r="E5" s="22"/>
      <c r="F5" s="22"/>
      <c r="G5" s="22"/>
      <c r="H5" s="23">
        <f>SUM(H2:H3)-H3</f>
        <v>0</v>
      </c>
      <c r="I5" s="22"/>
      <c r="J5" s="32"/>
    </row>
    <row r="6" spans="1:10" ht="15" thickBot="1" x14ac:dyDescent="0.4"/>
    <row r="7" spans="1:10" ht="15" thickBot="1" x14ac:dyDescent="0.4">
      <c r="A7" s="34" t="s">
        <v>0</v>
      </c>
      <c r="B7" s="35" t="s">
        <v>28</v>
      </c>
      <c r="C7" s="36" t="s">
        <v>20</v>
      </c>
      <c r="D7" s="36" t="s">
        <v>21</v>
      </c>
      <c r="E7" s="36" t="s">
        <v>22</v>
      </c>
      <c r="F7" s="36" t="s">
        <v>23</v>
      </c>
      <c r="G7" s="36" t="s">
        <v>24</v>
      </c>
      <c r="H7" s="36" t="s">
        <v>25</v>
      </c>
      <c r="I7" s="36" t="s">
        <v>26</v>
      </c>
      <c r="J7" s="37" t="s">
        <v>27</v>
      </c>
    </row>
    <row r="8" spans="1:10" x14ac:dyDescent="0.35">
      <c r="A8" s="25" t="s">
        <v>47</v>
      </c>
      <c r="B8" s="26" t="s">
        <v>48</v>
      </c>
      <c r="C8" s="27"/>
      <c r="D8" s="27"/>
      <c r="E8" s="27"/>
      <c r="F8" s="27"/>
      <c r="G8" s="27"/>
      <c r="H8" s="27">
        <v>0</v>
      </c>
      <c r="I8" s="27"/>
      <c r="J8" s="33"/>
    </row>
    <row r="9" spans="1:10" x14ac:dyDescent="0.35">
      <c r="A9" s="15" t="s">
        <v>47</v>
      </c>
      <c r="B9" s="16" t="s">
        <v>49</v>
      </c>
      <c r="C9" s="1"/>
      <c r="D9" s="1"/>
      <c r="E9" s="1"/>
      <c r="F9" s="1"/>
      <c r="G9" s="1"/>
      <c r="H9" s="1">
        <v>0</v>
      </c>
      <c r="I9" s="1"/>
      <c r="J9" s="17"/>
    </row>
    <row r="10" spans="1:10" x14ac:dyDescent="0.35">
      <c r="A10" s="15" t="s">
        <v>47</v>
      </c>
      <c r="B10" s="16" t="s">
        <v>18</v>
      </c>
      <c r="C10" s="1"/>
      <c r="D10" s="1"/>
      <c r="E10" s="1"/>
      <c r="F10" s="1"/>
      <c r="G10" s="1"/>
      <c r="H10" s="1">
        <v>3</v>
      </c>
      <c r="I10" s="1"/>
      <c r="J10" s="17"/>
    </row>
    <row r="11" spans="1:10" x14ac:dyDescent="0.35">
      <c r="A11" s="15" t="s">
        <v>47</v>
      </c>
      <c r="B11" s="18" t="s">
        <v>19</v>
      </c>
      <c r="C11" s="18"/>
      <c r="D11" s="18"/>
      <c r="E11" s="18"/>
      <c r="F11" s="18"/>
      <c r="G11" s="18"/>
      <c r="H11" s="19">
        <f>SUM(H8:H10)</f>
        <v>3</v>
      </c>
      <c r="I11" s="18"/>
      <c r="J11" s="31"/>
    </row>
    <row r="12" spans="1:10" ht="15" thickBot="1" x14ac:dyDescent="0.4">
      <c r="A12" s="21" t="s">
        <v>47</v>
      </c>
      <c r="B12" s="22" t="s">
        <v>35</v>
      </c>
      <c r="C12" s="22"/>
      <c r="D12" s="22"/>
      <c r="E12" s="22"/>
      <c r="F12" s="22"/>
      <c r="G12" s="22"/>
      <c r="H12" s="23">
        <f>SUM(H8:H10)-H10</f>
        <v>0</v>
      </c>
      <c r="I12" s="22"/>
      <c r="J12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</vt:lpstr>
      <vt:lpstr>BC_F</vt:lpstr>
      <vt:lpstr>BC_CP</vt:lpstr>
      <vt:lpstr>Obs_1</vt:lpstr>
      <vt:lpstr>Obs_2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Rivera</dc:creator>
  <cp:lastModifiedBy>Abraham Rivera</cp:lastModifiedBy>
  <dcterms:created xsi:type="dcterms:W3CDTF">2026-04-24T14:56:32Z</dcterms:created>
  <dcterms:modified xsi:type="dcterms:W3CDTF">2026-05-27T00:32:09Z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2026-04-24T17:31:41Z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ca117433-be25-4cd1-b0f4-921f121b9031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